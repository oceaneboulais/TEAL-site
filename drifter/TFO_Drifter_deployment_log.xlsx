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alaferri/GIT/sio_code/ThodeLabClean/drifter/"/>
    </mc:Choice>
  </mc:AlternateContent>
  <xr:revisionPtr revIDLastSave="0" documentId="13_ncr:1_{3628C5A1-1AC3-C147-B852-5B8C89A5AA43}" xr6:coauthVersionLast="47" xr6:coauthVersionMax="47" xr10:uidLastSave="{00000000-0000-0000-0000-000000000000}"/>
  <bookViews>
    <workbookView xWindow="1960" yWindow="560" windowWidth="30240" windowHeight="18880" xr2:uid="{00000000-000D-0000-FFFF-FFFF00000000}"/>
  </bookViews>
  <sheets>
    <sheet name="Drifter Log 2022-2023" sheetId="1" r:id="rId1"/>
    <sheet name="SanDiegoSummary" sheetId="4" r:id="rId2"/>
    <sheet name="NOAA Solar Calculator" sheetId="3" r:id="rId3"/>
  </sheets>
  <definedNames>
    <definedName name="_xlnm._FilterDatabase" localSheetId="0" hidden="1">'Drifter Log 2022-2023'!$A$1:$AD$35</definedName>
    <definedName name="_xlnm._FilterDatabase" localSheetId="1" hidden="1">SanDiegoSummary!$A$1:$H$15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41" i="1" l="1"/>
  <c r="Y45" i="1"/>
  <c r="Y46" i="1"/>
  <c r="L46" i="1"/>
  <c r="L45" i="1"/>
  <c r="Y2" i="1" l="1"/>
  <c r="G46" i="1"/>
  <c r="L3" i="1"/>
  <c r="L2" i="1"/>
  <c r="G3" i="1"/>
  <c r="G2" i="1"/>
  <c r="G40" i="1"/>
  <c r="Y47" i="1"/>
  <c r="L47" i="1"/>
  <c r="G47" i="1"/>
  <c r="G45" i="1"/>
  <c r="G44" i="1"/>
  <c r="Y40" i="1" l="1"/>
  <c r="L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D3" i="3"/>
  <c r="E2" i="3"/>
  <c r="E3" i="3" s="1"/>
  <c r="F3" i="3" s="1"/>
  <c r="G3" i="3" s="1"/>
  <c r="D2" i="3"/>
  <c r="Q3" i="3" l="1"/>
  <c r="R3" i="3" s="1"/>
  <c r="I3" i="3"/>
  <c r="J3" i="3"/>
  <c r="K3" i="3"/>
  <c r="F2" i="3"/>
  <c r="G2" i="3" s="1"/>
  <c r="I2" i="3" s="1"/>
  <c r="U3" i="3" l="1"/>
  <c r="V3" i="3" s="1"/>
  <c r="L3" i="3"/>
  <c r="M3" i="3" s="1"/>
  <c r="P3" i="3" s="1"/>
  <c r="J2" i="3"/>
  <c r="L2" i="3" s="1"/>
  <c r="M2" i="3" s="1"/>
  <c r="P2" i="3" s="1"/>
  <c r="Q2" i="3"/>
  <c r="R2" i="3" s="1"/>
  <c r="U2" i="3" s="1"/>
  <c r="V2" i="3" s="1"/>
  <c r="K2" i="3"/>
  <c r="N3" i="3" l="1"/>
  <c r="O3" i="3" s="1"/>
  <c r="S3" i="3"/>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<sst xmlns="http://schemas.openxmlformats.org/spreadsheetml/2006/main" count="331" uniqueCount="139">
  <si>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</si>
  <si>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</si>
  <si>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</si>
  <si>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</si>
  <si>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</si>
  <si>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</si>
  <si>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</si>
  <si>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</si>
  <si>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</si>
  <si>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</si>
  <si>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</si>
  <si>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</si>
  <si>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</si>
  <si>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</si>
  <si>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</si>
  <si>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</si>
  <si>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</si>
  <si>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</si>
  <si>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</si>
  <si>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</si>
  <si>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</si>
  <si>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</si>
  <si>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</si>
  <si>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</si>
  <si>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</si>
  <si>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</si>
  <si>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</si>
  <si>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</si>
  <si>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</si>
  <si>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</si>
  <si>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</si>
  <si>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</si>
  <si>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</si>
  <si>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</si>
  <si>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</si>
  <si>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</si>
  <si>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</si>
  <si>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</si>
  <si>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</si>
  <si>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</si>
  <si>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</si>
  <si>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</si>
  <si>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</si>
  <si>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</si>
  <si>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</si>
  <si>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</si>
  <si>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</si>
  <si>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</si>
  <si>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</si>
  <si>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</si>
  <si>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</si>
  <si>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</si>
  <si>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</si>
  <si>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</si>
  <si>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</si>
  <si>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</si>
  <si>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</si>
  <si>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</si>
  <si>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</si>
  <si>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</si>
  <si>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</si>
  <si>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</si>
  <si>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</si>
  <si>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</si>
  <si>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</si>
  <si>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</si>
  <si>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</si>
  <si>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</si>
  <si>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</si>
  <si>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</si>
  <si>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</si>
  <si>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</si>
  <si>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</si>
  <si>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</si>
  <si>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</si>
  <si>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</si>
  <si>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</si>
  <si>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</si>
  <si>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</si>
  <si>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</si>
  <si>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</si>
  <si>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</si>
  <si>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</si>
  <si>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</si>
  <si>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</si>
  <si>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</si>
  <si>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</si>
  <si>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</si>
  <si>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</si>
  <si>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</si>
  <si>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</si>
  <si>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</si>
  <si>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</si>
  <si>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</si>
  <si>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</si>
  <si>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</si>
  <si>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</si>
  <si>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</si>
  <si>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</si>
  <si>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</si>
  <si>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</si>
  <si>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</si>
  <si>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</si>
  <si>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</si>
  <si>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</si>
  <si>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</si>
  <si>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</si>
  <si>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</si>
  <si>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</si>
  <si>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</si>
  <si>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</si>
  <si>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</si>
  <si>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</si>
  <si>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</si>
  <si>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</si>
  <si>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20240517T172653</t>
  </si>
  <si>
    <t>20240520T193304</t>
  </si>
  <si>
    <t>2024-05-19T19:21:43</t>
  </si>
  <si>
    <t>2024-05-17T18:20:27</t>
  </si>
  <si>
    <t>33.001117 </t>
  </si>
  <si>
    <t> -117.872970</t>
  </si>
  <si>
    <t>2024-05-19T21:43:40</t>
  </si>
  <si>
    <t xml:space="preserve">2024-05-20T10:14:28 </t>
  </si>
  <si>
    <t>20240513T171747</t>
  </si>
  <si>
    <t>20240513T211836</t>
  </si>
  <si>
    <t>20220918T030844</t>
  </si>
  <si>
    <t>20220918T123442</t>
  </si>
  <si>
    <t>20220918T194307</t>
  </si>
  <si>
    <t>20220919T141500</t>
  </si>
  <si>
    <t>20220919T193132</t>
  </si>
  <si>
    <t>20220920T132834</t>
  </si>
  <si>
    <t>Was supposed to dive a third time, but stayed at surface</t>
  </si>
  <si>
    <t>Dove in wrong direction after waking up from hibernation, dove to 950m and dropped weight</t>
  </si>
  <si>
    <t>Got stuck just under the surface after first dive</t>
  </si>
  <si>
    <t>20240625T184500</t>
  </si>
  <si>
    <t xml:space="preserve">Initial deployment test of 80m thermister string with ADCP </t>
  </si>
  <si>
    <t>Deployment with 80m thermister string and ADCP</t>
  </si>
  <si>
    <t>Received no iridium fixes from Drifter 5, possible sat beacon malfunction. Recovered via VHF after 5 days adrift. Dove in wrong direction after waking from hibernation, dove close to 950m and dropped weight</t>
  </si>
  <si>
    <t>2024_Jun_Seamounts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</si>
</sst>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Thh:mm:ss"/>
    <numFmt numFmtId="165" formatCode="h:mm;@"/>
    <numFmt numFmtId="166" formatCode="h:mm:ss;@"/>
    <numFmt numFmtId="167" formatCode="0.00000000"/>
    <numFmt numFmtId="168" formatCode="yyyymmdd\Thhmmss"/>
    <numFmt numFmtId="169" formatCode="hh:mm:ss"/>
  </numFmts>
  <fonts count="14" x14ac:knownFonts="1">
    <font>
      <sz val="11"/>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
      <sz val="11"/>
      <color rgb="FF000000"/>
      <name val="Calibri"/>
      <family val="2"/>
      <scheme val="minor"/>
    </font>
  </fonts>
  <fills count="7">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3" fillId="2" borderId="0" applyNumberFormat="0" applyBorder="0" applyAlignment="0" applyProtection="0"/>
    <xf numFmtId="0" fontId="10" fillId="0" borderId="0"/>
  </cellStyleXfs>
  <cellXfs count="93">
    <xf numFmtId="0" fontId="0" fillId="0" borderId="0" xfId="0"/>
    <xf numFmtId="0" fontId="10" fillId="0" borderId="0" xfId="2"/>
    <xf numFmtId="166" fontId="10" fillId="0" borderId="0" xfId="2" applyNumberFormat="1"/>
    <xf numFmtId="167" fontId="10" fillId="0" borderId="0" xfId="2" applyNumberFormat="1"/>
    <xf numFmtId="2" fontId="10" fillId="0" borderId="0" xfId="2" applyNumberFormat="1"/>
    <xf numFmtId="14" fontId="10" fillId="0" borderId="0" xfId="2" applyNumberFormat="1"/>
    <xf numFmtId="14" fontId="10" fillId="3" borderId="0" xfId="2" applyNumberFormat="1" applyFill="1"/>
    <xf numFmtId="0" fontId="10" fillId="3" borderId="0" xfId="2" applyFill="1"/>
    <xf numFmtId="0" fontId="4" fillId="0" borderId="0" xfId="2" applyFont="1" applyAlignment="1">
      <alignment horizontal="left"/>
    </xf>
    <xf numFmtId="0" fontId="10" fillId="0" borderId="0" xfId="2" applyAlignment="1">
      <alignment wrapText="1"/>
    </xf>
    <xf numFmtId="168" fontId="3" fillId="0" borderId="1" xfId="1" applyNumberFormat="1" applyFill="1" applyBorder="1" applyAlignment="1">
      <alignment horizontal="center"/>
    </xf>
    <xf numFmtId="0" fontId="8" fillId="0" borderId="1" xfId="0" applyFont="1" applyBorder="1" applyAlignment="1">
      <alignment horizontal="center"/>
    </xf>
    <xf numFmtId="14" fontId="8" fillId="0" borderId="1" xfId="0" applyNumberFormat="1" applyFont="1" applyBorder="1" applyAlignment="1">
      <alignment horizontal="center"/>
    </xf>
    <xf numFmtId="21" fontId="8" fillId="0" borderId="1" xfId="0" applyNumberFormat="1" applyFont="1" applyBorder="1" applyAlignment="1">
      <alignment horizontal="center"/>
    </xf>
    <xf numFmtId="1" fontId="8" fillId="0" borderId="1" xfId="0" applyNumberFormat="1" applyFont="1" applyBorder="1" applyAlignment="1">
      <alignment horizontal="center"/>
    </xf>
    <xf numFmtId="164" fontId="8" fillId="0" borderId="1" xfId="0" applyNumberFormat="1" applyFont="1" applyBorder="1" applyAlignment="1">
      <alignment horizontal="center"/>
    </xf>
    <xf numFmtId="2" fontId="8" fillId="0" borderId="1" xfId="0" applyNumberFormat="1" applyFont="1" applyBorder="1" applyAlignment="1">
      <alignment horizontal="center"/>
    </xf>
    <xf numFmtId="165" fontId="8" fillId="0" borderId="1" xfId="0" applyNumberFormat="1" applyFont="1" applyBorder="1" applyAlignment="1">
      <alignment horizontal="center"/>
    </xf>
    <xf numFmtId="0" fontId="9" fillId="0" borderId="1" xfId="0" applyFont="1" applyBorder="1" applyAlignment="1">
      <alignment horizontal="center"/>
    </xf>
    <xf numFmtId="0" fontId="2" fillId="0" borderId="1" xfId="1" applyFont="1" applyFill="1" applyBorder="1" applyAlignment="1">
      <alignment horizontal="center"/>
    </xf>
    <xf numFmtId="0" fontId="4" fillId="0" borderId="1" xfId="0" applyFont="1" applyBorder="1" applyAlignment="1">
      <alignment horizontal="center"/>
    </xf>
    <xf numFmtId="14" fontId="4" fillId="0" borderId="1" xfId="0" applyNumberFormat="1" applyFont="1" applyBorder="1" applyAlignment="1">
      <alignment horizontal="center"/>
    </xf>
    <xf numFmtId="21" fontId="4" fillId="0" borderId="1" xfId="0" applyNumberFormat="1" applyFont="1" applyBorder="1" applyAlignment="1">
      <alignment horizontal="center"/>
    </xf>
    <xf numFmtId="1" fontId="4" fillId="0" borderId="1" xfId="0" applyNumberFormat="1" applyFont="1" applyBorder="1" applyAlignment="1">
      <alignment horizontal="center"/>
    </xf>
    <xf numFmtId="164" fontId="4" fillId="0" borderId="1" xfId="0" applyNumberFormat="1" applyFont="1" applyBorder="1" applyAlignment="1">
      <alignment horizontal="center"/>
    </xf>
    <xf numFmtId="2" fontId="4" fillId="0" borderId="1" xfId="0" applyNumberFormat="1" applyFont="1" applyBorder="1" applyAlignment="1">
      <alignment horizontal="center"/>
    </xf>
    <xf numFmtId="165" fontId="4" fillId="0" borderId="1" xfId="0" applyNumberFormat="1" applyFont="1" applyBorder="1" applyAlignment="1">
      <alignment horizontal="center"/>
    </xf>
    <xf numFmtId="0" fontId="0" fillId="0" borderId="1" xfId="0" applyBorder="1" applyAlignment="1">
      <alignment horizontal="center"/>
    </xf>
    <xf numFmtId="164" fontId="5" fillId="0" borderId="1" xfId="0" applyNumberFormat="1" applyFont="1" applyBorder="1" applyAlignment="1">
      <alignment horizontal="center"/>
    </xf>
    <xf numFmtId="0" fontId="5" fillId="0" borderId="1" xfId="0" applyFont="1" applyBorder="1" applyAlignment="1">
      <alignment horizontal="center"/>
    </xf>
    <xf numFmtId="168" fontId="4" fillId="0" borderId="1" xfId="0" applyNumberFormat="1" applyFont="1" applyBorder="1" applyAlignment="1">
      <alignment horizontal="center"/>
    </xf>
    <xf numFmtId="0" fontId="10" fillId="0" borderId="1" xfId="0" applyFont="1" applyBorder="1" applyAlignment="1">
      <alignment horizontal="center"/>
    </xf>
    <xf numFmtId="0" fontId="7" fillId="0" borderId="1" xfId="0" applyFont="1" applyBorder="1" applyAlignment="1">
      <alignment horizontal="center"/>
    </xf>
    <xf numFmtId="14" fontId="6"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3" fillId="4" borderId="1" xfId="1" applyFill="1" applyBorder="1" applyAlignment="1">
      <alignment horizontal="center"/>
    </xf>
    <xf numFmtId="0" fontId="2" fillId="4" borderId="1" xfId="1" applyFont="1" applyFill="1" applyBorder="1" applyAlignment="1">
      <alignment horizontal="center"/>
    </xf>
    <xf numFmtId="14" fontId="3" fillId="4" borderId="1" xfId="1" applyNumberFormat="1" applyFill="1" applyBorder="1" applyAlignment="1">
      <alignment horizontal="center"/>
    </xf>
    <xf numFmtId="21" fontId="3" fillId="4" borderId="1" xfId="1" applyNumberFormat="1" applyFill="1" applyBorder="1" applyAlignment="1">
      <alignment horizontal="center"/>
    </xf>
    <xf numFmtId="168" fontId="3" fillId="4" borderId="1" xfId="1" applyNumberFormat="1" applyFill="1" applyBorder="1" applyAlignment="1">
      <alignment horizontal="center"/>
    </xf>
    <xf numFmtId="1" fontId="3" fillId="4" borderId="1" xfId="1" applyNumberFormat="1" applyFill="1" applyBorder="1" applyAlignment="1">
      <alignment horizontal="center"/>
    </xf>
    <xf numFmtId="164" fontId="3" fillId="4" borderId="1" xfId="1" applyNumberFormat="1" applyFill="1" applyBorder="1" applyAlignment="1">
      <alignment horizontal="center"/>
    </xf>
    <xf numFmtId="165" fontId="3" fillId="4" borderId="1" xfId="1" applyNumberFormat="1" applyFill="1" applyBorder="1" applyAlignment="1">
      <alignment horizontal="center"/>
    </xf>
    <xf numFmtId="0" fontId="4" fillId="4" borderId="1" xfId="0" applyFont="1" applyFill="1" applyBorder="1" applyAlignment="1">
      <alignment horizontal="center"/>
    </xf>
    <xf numFmtId="14" fontId="4" fillId="4" borderId="1" xfId="0" applyNumberFormat="1" applyFont="1" applyFill="1" applyBorder="1" applyAlignment="1">
      <alignment horizontal="center"/>
    </xf>
    <xf numFmtId="21" fontId="4" fillId="4" borderId="1" xfId="0" applyNumberFormat="1" applyFont="1" applyFill="1" applyBorder="1" applyAlignment="1">
      <alignment horizontal="center"/>
    </xf>
    <xf numFmtId="1" fontId="4" fillId="4" borderId="1" xfId="0" applyNumberFormat="1" applyFont="1" applyFill="1" applyBorder="1" applyAlignment="1">
      <alignment horizontal="center"/>
    </xf>
    <xf numFmtId="164" fontId="4" fillId="4" borderId="1" xfId="0" applyNumberFormat="1" applyFont="1" applyFill="1" applyBorder="1" applyAlignment="1">
      <alignment horizontal="center"/>
    </xf>
    <xf numFmtId="2" fontId="4" fillId="4" borderId="1" xfId="0" applyNumberFormat="1" applyFont="1" applyFill="1" applyBorder="1" applyAlignment="1">
      <alignment horizontal="center"/>
    </xf>
    <xf numFmtId="165" fontId="4" fillId="4" borderId="1" xfId="0" applyNumberFormat="1" applyFont="1" applyFill="1" applyBorder="1" applyAlignment="1">
      <alignment horizontal="center"/>
    </xf>
    <xf numFmtId="0" fontId="0" fillId="4" borderId="1" xfId="0" applyFill="1" applyBorder="1" applyAlignment="1">
      <alignment horizontal="center"/>
    </xf>
    <xf numFmtId="164" fontId="5" fillId="4" borderId="1" xfId="0" applyNumberFormat="1" applyFont="1" applyFill="1" applyBorder="1" applyAlignment="1">
      <alignment horizontal="center"/>
    </xf>
    <xf numFmtId="0" fontId="5" fillId="4" borderId="1" xfId="0" applyFont="1" applyFill="1" applyBorder="1" applyAlignment="1">
      <alignment horizontal="center"/>
    </xf>
    <xf numFmtId="168" fontId="4" fillId="4" borderId="1" xfId="0" applyNumberFormat="1" applyFont="1" applyFill="1" applyBorder="1" applyAlignment="1">
      <alignment horizontal="center"/>
    </xf>
    <xf numFmtId="0" fontId="10" fillId="4" borderId="1" xfId="0" applyFont="1" applyFill="1" applyBorder="1" applyAlignment="1">
      <alignment horizontal="center"/>
    </xf>
    <xf numFmtId="0" fontId="7" fillId="4" borderId="1" xfId="0" applyFont="1" applyFill="1" applyBorder="1" applyAlignment="1">
      <alignment horizontal="center"/>
    </xf>
    <xf numFmtId="0" fontId="4" fillId="5" borderId="1" xfId="0" applyFont="1" applyFill="1" applyBorder="1" applyAlignment="1">
      <alignment horizontal="center"/>
    </xf>
    <xf numFmtId="14" fontId="4" fillId="5" borderId="1" xfId="0" applyNumberFormat="1" applyFont="1" applyFill="1" applyBorder="1" applyAlignment="1">
      <alignment horizontal="center"/>
    </xf>
    <xf numFmtId="2" fontId="4" fillId="5" borderId="1" xfId="0" applyNumberFormat="1" applyFont="1" applyFill="1" applyBorder="1" applyAlignment="1">
      <alignment horizontal="center"/>
    </xf>
    <xf numFmtId="0" fontId="0" fillId="5" borderId="1" xfId="0" applyFill="1" applyBorder="1" applyAlignment="1">
      <alignment horizontal="center"/>
    </xf>
    <xf numFmtId="0" fontId="12" fillId="0" borderId="0" xfId="0" applyFont="1"/>
    <xf numFmtId="168" fontId="3" fillId="6" borderId="1" xfId="1" applyNumberFormat="1" applyFill="1" applyBorder="1" applyAlignment="1">
      <alignment horizontal="center"/>
    </xf>
    <xf numFmtId="168" fontId="4" fillId="6" borderId="1" xfId="0" applyNumberFormat="1" applyFont="1" applyFill="1" applyBorder="1" applyAlignment="1">
      <alignment horizontal="center"/>
    </xf>
    <xf numFmtId="1" fontId="4" fillId="6" borderId="1" xfId="0" applyNumberFormat="1" applyFont="1" applyFill="1" applyBorder="1" applyAlignment="1">
      <alignment horizontal="center"/>
    </xf>
    <xf numFmtId="0" fontId="4" fillId="6" borderId="1" xfId="0" applyFont="1" applyFill="1" applyBorder="1" applyAlignment="1">
      <alignment horizontal="center"/>
    </xf>
    <xf numFmtId="0" fontId="12" fillId="0" borderId="1" xfId="0" applyFont="1" applyBorder="1"/>
    <xf numFmtId="0" fontId="5" fillId="4" borderId="1" xfId="0" applyFont="1" applyFill="1" applyBorder="1"/>
    <xf numFmtId="0" fontId="7" fillId="4" borderId="1" xfId="0" applyFont="1" applyFill="1" applyBorder="1"/>
    <xf numFmtId="0" fontId="7" fillId="0" borderId="1" xfId="0" applyFont="1" applyBorder="1"/>
    <xf numFmtId="14" fontId="5" fillId="4" borderId="1" xfId="0" applyNumberFormat="1" applyFont="1" applyFill="1" applyBorder="1" applyAlignment="1">
      <alignment horizontal="center"/>
    </xf>
    <xf numFmtId="169" fontId="4" fillId="4" borderId="1" xfId="0" applyNumberFormat="1" applyFont="1" applyFill="1" applyBorder="1" applyAlignment="1">
      <alignment horizontal="center"/>
    </xf>
    <xf numFmtId="1" fontId="13" fillId="4" borderId="1" xfId="0" applyNumberFormat="1" applyFont="1" applyFill="1" applyBorder="1" applyAlignment="1">
      <alignment horizontal="center"/>
    </xf>
    <xf numFmtId="14" fontId="5" fillId="6" borderId="1" xfId="0" applyNumberFormat="1" applyFont="1" applyFill="1" applyBorder="1" applyAlignment="1">
      <alignment horizontal="center"/>
    </xf>
    <xf numFmtId="169" fontId="4" fillId="6" borderId="1" xfId="0" applyNumberFormat="1" applyFont="1" applyFill="1" applyBorder="1" applyAlignment="1">
      <alignment horizontal="center"/>
    </xf>
    <xf numFmtId="14" fontId="4" fillId="6" borderId="1" xfId="0" applyNumberFormat="1" applyFont="1" applyFill="1" applyBorder="1" applyAlignment="1">
      <alignment horizontal="center"/>
    </xf>
    <xf numFmtId="21" fontId="4" fillId="6" borderId="1" xfId="0" applyNumberFormat="1" applyFont="1" applyFill="1" applyBorder="1" applyAlignment="1">
      <alignment horizontal="center"/>
    </xf>
    <xf numFmtId="0" fontId="7" fillId="6" borderId="1" xfId="0" applyFont="1" applyFill="1" applyBorder="1"/>
    <xf numFmtId="164" fontId="5" fillId="6" borderId="1" xfId="0" applyNumberFormat="1" applyFont="1" applyFill="1" applyBorder="1" applyAlignment="1">
      <alignment horizontal="center"/>
    </xf>
    <xf numFmtId="164" fontId="4" fillId="6"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0" fontId="0" fillId="6" borderId="1" xfId="0" applyFill="1" applyBorder="1" applyAlignment="1">
      <alignment horizontal="center"/>
    </xf>
    <xf numFmtId="22" fontId="12" fillId="6" borderId="1" xfId="0" applyNumberFormat="1" applyFont="1" applyFill="1" applyBorder="1"/>
    <xf numFmtId="0" fontId="12" fillId="6" borderId="1" xfId="0" applyFont="1" applyFill="1" applyBorder="1"/>
    <xf numFmtId="0" fontId="12" fillId="6" borderId="0" xfId="0" applyFont="1" applyFill="1"/>
    <xf numFmtId="168" fontId="1" fillId="4" borderId="1" xfId="1" applyNumberFormat="1" applyFont="1" applyFill="1" applyBorder="1" applyAlignment="1">
      <alignment horizontal="center"/>
    </xf>
    <xf numFmtId="21" fontId="1" fillId="4" borderId="1" xfId="1" applyNumberFormat="1" applyFont="1" applyFill="1" applyBorder="1" applyAlignment="1">
      <alignment horizontal="center"/>
    </xf>
    <xf numFmtId="168" fontId="1" fillId="6" borderId="1" xfId="1" applyNumberFormat="1" applyFont="1" applyFill="1" applyBorder="1" applyAlignment="1">
      <alignment horizontal="center"/>
    </xf>
    <xf numFmtId="0" fontId="7" fillId="0" borderId="0" xfId="0" applyFont="1"/>
    <xf numFmtId="0" fontId="7" fillId="4" borderId="0" xfId="0" applyFont="1" applyFill="1"/>
    <xf numFmtId="0" fontId="11" fillId="0" borderId="0" xfId="2" applyFont="1" applyAlignment="1">
      <alignment vertical="top" wrapText="1"/>
    </xf>
    <xf numFmtId="0" fontId="10"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6"/>
  <sheetViews>
    <sheetView tabSelected="1" topLeftCell="AA1" zoomScale="115" workbookViewId="0">
      <pane ySplit="1" topLeftCell="A14" activePane="bottomLeft" state="frozen"/>
      <selection pane="bottomLeft" activeCell="AD44" sqref="AD44"/>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customWidth="1"/>
    <col min="13" max="13" width="12.1640625" style="27" customWidth="1"/>
    <col min="14" max="16" width="13.5" style="27" customWidth="1"/>
    <col min="17" max="17" width="16.83203125" style="27"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5" width="14.1640625" style="34" customWidth="1"/>
    <col min="26" max="27" width="15.1640625" style="35" bestFit="1" customWidth="1"/>
    <col min="28" max="28" width="12.6640625" style="27" customWidth="1"/>
    <col min="29" max="29" width="45.1640625" style="27" customWidth="1"/>
    <col min="30" max="30" width="134" style="27" customWidth="1"/>
    <col min="31" max="16384" width="14.5" style="27"/>
  </cols>
  <sheetData>
    <row r="1" spans="1:30"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7" t="s">
        <v>20</v>
      </c>
      <c r="AA1" s="17" t="s">
        <v>21</v>
      </c>
      <c r="AB1" s="11" t="s">
        <v>39</v>
      </c>
      <c r="AC1" s="11" t="s">
        <v>50</v>
      </c>
      <c r="AD1" s="11" t="s">
        <v>22</v>
      </c>
    </row>
    <row r="2" spans="1:30" s="36" customFormat="1" ht="16" x14ac:dyDescent="0.2">
      <c r="A2" s="36">
        <v>1</v>
      </c>
      <c r="B2" s="37" t="s">
        <v>89</v>
      </c>
      <c r="C2" s="36">
        <v>4</v>
      </c>
      <c r="D2" s="36">
        <v>1</v>
      </c>
      <c r="E2" s="38">
        <v>44818</v>
      </c>
      <c r="F2" s="39">
        <v>0.55138888888888882</v>
      </c>
      <c r="G2" s="40">
        <f t="shared" ref="G2:G3" si="0">$E2+$F2+TIME(AC2,0,0)</f>
        <v>44818.718055555553</v>
      </c>
      <c r="H2" s="36">
        <v>39.865239000000003</v>
      </c>
      <c r="I2" s="36">
        <v>-70.443644000000006</v>
      </c>
      <c r="J2" s="38">
        <v>44818</v>
      </c>
      <c r="K2" s="39">
        <v>0.66666666666666663</v>
      </c>
      <c r="L2" s="40">
        <f t="shared" ref="L2:L3" si="1">$J2+$K2 +TIME($AC2,0,0)</f>
        <v>44818.833333333328</v>
      </c>
      <c r="M2" s="36">
        <v>39.869919000000003</v>
      </c>
      <c r="N2" s="36">
        <v>-70.432182999999995</v>
      </c>
      <c r="O2" s="36">
        <v>1</v>
      </c>
      <c r="P2" s="36" t="s">
        <v>23</v>
      </c>
      <c r="Q2" s="41">
        <v>300434066482170</v>
      </c>
      <c r="R2" s="41" t="s">
        <v>36</v>
      </c>
      <c r="S2" s="42">
        <v>44818.76803240741</v>
      </c>
      <c r="T2" s="90">
        <v>39.866098999999998</v>
      </c>
      <c r="U2" s="90">
        <v>-70.443217000000004</v>
      </c>
      <c r="V2" s="42">
        <v>44818.809594907405</v>
      </c>
      <c r="W2" s="90">
        <v>39.867842000000003</v>
      </c>
      <c r="X2" s="90">
        <v>-70.437183000000005</v>
      </c>
      <c r="Y2" s="49">
        <f t="shared" ref="Y2:Y39" si="2">(V2-S2)*1440/60</f>
        <v>0.99749999988125637</v>
      </c>
      <c r="Z2" s="43">
        <v>0.43124999999999997</v>
      </c>
      <c r="AA2" s="43">
        <v>0.45208333333333334</v>
      </c>
      <c r="AC2" s="36">
        <v>4</v>
      </c>
      <c r="AD2" s="36" t="s">
        <v>24</v>
      </c>
    </row>
    <row r="3" spans="1:30" ht="16" x14ac:dyDescent="0.2">
      <c r="A3" s="20">
        <v>2</v>
      </c>
      <c r="B3" s="19" t="s">
        <v>89</v>
      </c>
      <c r="C3" s="20">
        <v>4</v>
      </c>
      <c r="D3" s="20">
        <v>1</v>
      </c>
      <c r="E3" s="21">
        <v>44819</v>
      </c>
      <c r="F3" s="22">
        <v>0.42638888888888887</v>
      </c>
      <c r="G3" s="62">
        <f t="shared" si="0"/>
        <v>44819.593055555553</v>
      </c>
      <c r="H3" s="20">
        <v>39.813581999999997</v>
      </c>
      <c r="I3" s="20">
        <v>-70.271919999999994</v>
      </c>
      <c r="J3" s="21">
        <v>44819</v>
      </c>
      <c r="K3" s="22">
        <v>0.47638888888888892</v>
      </c>
      <c r="L3" s="62">
        <f t="shared" si="1"/>
        <v>44819.643055555556</v>
      </c>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6">
        <v>0.43194444444444446</v>
      </c>
      <c r="AA3" s="26">
        <v>0.95138888888888884</v>
      </c>
      <c r="AB3" s="20"/>
      <c r="AC3" s="20">
        <v>4</v>
      </c>
      <c r="AD3" s="20" t="s">
        <v>25</v>
      </c>
    </row>
    <row r="4" spans="1:30" s="36" customFormat="1" ht="16" x14ac:dyDescent="0.2">
      <c r="A4" s="36">
        <v>3</v>
      </c>
      <c r="B4" s="37" t="s">
        <v>89</v>
      </c>
      <c r="C4" s="36">
        <v>4</v>
      </c>
      <c r="D4" s="36">
        <v>1</v>
      </c>
      <c r="E4" s="38">
        <v>44822</v>
      </c>
      <c r="F4" s="39"/>
      <c r="G4" s="86" t="s">
        <v>125</v>
      </c>
      <c r="H4" s="36">
        <v>38.944544999999998</v>
      </c>
      <c r="I4" s="36">
        <v>-63.757482000000003</v>
      </c>
      <c r="J4" s="38">
        <v>44822</v>
      </c>
      <c r="K4" s="39"/>
      <c r="L4" s="87" t="s">
        <v>126</v>
      </c>
      <c r="M4" s="36">
        <v>38.974831000000002</v>
      </c>
      <c r="N4" s="36">
        <v>-63.683495000000001</v>
      </c>
      <c r="O4" s="36">
        <v>1</v>
      </c>
      <c r="P4" s="36" t="s">
        <v>23</v>
      </c>
      <c r="Q4" s="41">
        <v>300434066482170</v>
      </c>
      <c r="R4" s="41" t="s">
        <v>36</v>
      </c>
      <c r="S4" s="42">
        <v>44822.083333333336</v>
      </c>
      <c r="T4" s="36">
        <v>38.941955</v>
      </c>
      <c r="U4" s="36">
        <v>-63.756053000000001</v>
      </c>
      <c r="V4" s="42">
        <v>44822.465277777781</v>
      </c>
      <c r="W4" s="36">
        <v>38.973402999999998</v>
      </c>
      <c r="X4" s="36">
        <v>-63.696891999999998</v>
      </c>
      <c r="Y4" s="49">
        <f t="shared" si="2"/>
        <v>9.1666666666860692</v>
      </c>
      <c r="Z4" s="43">
        <v>0.41597222222222219</v>
      </c>
      <c r="AA4" s="43">
        <v>0.92986111111111114</v>
      </c>
      <c r="AB4" s="36">
        <v>250</v>
      </c>
      <c r="AC4" s="36">
        <v>4</v>
      </c>
      <c r="AD4" s="36" t="s">
        <v>26</v>
      </c>
    </row>
    <row r="5" spans="1:30" ht="16" x14ac:dyDescent="0.2">
      <c r="A5" s="20">
        <v>4</v>
      </c>
      <c r="B5" s="19" t="s">
        <v>89</v>
      </c>
      <c r="C5" s="20">
        <v>4</v>
      </c>
      <c r="D5" s="20">
        <v>1</v>
      </c>
      <c r="E5" s="21">
        <v>44822</v>
      </c>
      <c r="F5" s="22"/>
      <c r="G5" s="88" t="s">
        <v>127</v>
      </c>
      <c r="H5" s="20">
        <v>38.917915000000001</v>
      </c>
      <c r="I5" s="20">
        <v>-63.991678</v>
      </c>
      <c r="J5" s="21">
        <v>44823</v>
      </c>
      <c r="K5" s="22"/>
      <c r="L5" s="22" t="s">
        <v>128</v>
      </c>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2"/>
        <v>12.983333333395422</v>
      </c>
      <c r="Z5" s="26">
        <v>0.41597222222222219</v>
      </c>
      <c r="AA5" s="26">
        <v>0.92986111111111114</v>
      </c>
      <c r="AB5" s="20">
        <v>20</v>
      </c>
      <c r="AC5" s="20">
        <v>4</v>
      </c>
      <c r="AD5" s="20"/>
    </row>
    <row r="6" spans="1:30" s="51" customFormat="1" ht="16" x14ac:dyDescent="0.2">
      <c r="A6" s="44">
        <v>5</v>
      </c>
      <c r="B6" s="37" t="s">
        <v>89</v>
      </c>
      <c r="C6" s="44">
        <v>4</v>
      </c>
      <c r="D6" s="44">
        <v>1</v>
      </c>
      <c r="E6" s="45">
        <v>44823</v>
      </c>
      <c r="F6" s="46"/>
      <c r="G6" s="86" t="s">
        <v>129</v>
      </c>
      <c r="H6" s="44">
        <v>38.885973999999997</v>
      </c>
      <c r="I6" s="44">
        <v>-64.015152</v>
      </c>
      <c r="J6" s="45">
        <v>44824</v>
      </c>
      <c r="K6" s="46"/>
      <c r="L6" s="46" t="s">
        <v>130</v>
      </c>
      <c r="M6" s="44">
        <v>38.879128999999999</v>
      </c>
      <c r="N6" s="44">
        <v>-63.895172000000002</v>
      </c>
      <c r="O6" s="44">
        <v>1</v>
      </c>
      <c r="P6" s="44" t="s">
        <v>23</v>
      </c>
      <c r="Q6" s="47">
        <v>300434066482170</v>
      </c>
      <c r="R6" s="47" t="s">
        <v>36</v>
      </c>
      <c r="S6" s="48">
        <v>44823.822916666664</v>
      </c>
      <c r="T6" s="44">
        <v>38.886195999999998</v>
      </c>
      <c r="U6" s="44">
        <v>-64.012355999999997</v>
      </c>
      <c r="V6" s="48">
        <v>44824.329861111109</v>
      </c>
      <c r="W6" s="44">
        <v>38.854120000000002</v>
      </c>
      <c r="X6" s="44">
        <v>-63.966763999999998</v>
      </c>
      <c r="Y6" s="49">
        <f t="shared" si="2"/>
        <v>12.166666666686069</v>
      </c>
      <c r="Z6" s="50">
        <v>0.41666666666666669</v>
      </c>
      <c r="AA6" s="50">
        <v>0.92847222222222225</v>
      </c>
      <c r="AB6" s="44">
        <v>400</v>
      </c>
      <c r="AC6" s="44">
        <v>4</v>
      </c>
      <c r="AD6" s="44" t="s">
        <v>27</v>
      </c>
    </row>
    <row r="7" spans="1:30"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2"/>
        <v>1.4972222220967524</v>
      </c>
      <c r="Z7" s="26">
        <v>0.60277777777777775</v>
      </c>
      <c r="AA7" s="26">
        <v>7.013888888888889E-2</v>
      </c>
      <c r="AB7" s="20">
        <v>250</v>
      </c>
      <c r="AC7" s="20"/>
      <c r="AD7" s="20" t="s">
        <v>28</v>
      </c>
    </row>
    <row r="8" spans="1:30" s="51" customFormat="1" ht="16" x14ac:dyDescent="0.2">
      <c r="A8" s="44">
        <v>7</v>
      </c>
      <c r="B8" s="44" t="s">
        <v>88</v>
      </c>
      <c r="C8" s="44">
        <v>4</v>
      </c>
      <c r="D8" s="44">
        <v>1</v>
      </c>
      <c r="E8" s="45">
        <v>44983</v>
      </c>
      <c r="F8" s="46"/>
      <c r="G8" s="40" t="s">
        <v>107</v>
      </c>
      <c r="H8" s="44"/>
      <c r="I8" s="44"/>
      <c r="J8" s="45"/>
      <c r="K8" s="46"/>
      <c r="L8" s="46" t="s">
        <v>108</v>
      </c>
      <c r="M8" s="44"/>
      <c r="N8" s="44"/>
      <c r="O8" s="44">
        <v>1</v>
      </c>
      <c r="P8" s="44" t="s">
        <v>23</v>
      </c>
      <c r="Q8" s="47">
        <v>300434066480130</v>
      </c>
      <c r="R8" s="47" t="s">
        <v>93</v>
      </c>
      <c r="S8" s="48">
        <v>44983.875324074077</v>
      </c>
      <c r="T8" s="44">
        <v>32.910995</v>
      </c>
      <c r="U8" s="44">
        <v>-117.74101400000001</v>
      </c>
      <c r="V8" s="48">
        <v>44984.385752314818</v>
      </c>
      <c r="W8" s="44">
        <v>32.911644000000003</v>
      </c>
      <c r="X8" s="44">
        <v>-117.73635299999999</v>
      </c>
      <c r="Y8" s="49">
        <f t="shared" si="2"/>
        <v>12.250277777784504</v>
      </c>
      <c r="Z8" s="50">
        <v>0.59861111111111109</v>
      </c>
      <c r="AA8" s="50">
        <v>7.3611111111111113E-2</v>
      </c>
      <c r="AB8" s="44">
        <v>250</v>
      </c>
      <c r="AC8" s="44"/>
      <c r="AD8" s="44"/>
    </row>
    <row r="9" spans="1:30" s="51" customFormat="1" ht="16" x14ac:dyDescent="0.2">
      <c r="A9" s="44">
        <v>7</v>
      </c>
      <c r="B9" s="44" t="s">
        <v>88</v>
      </c>
      <c r="C9" s="44">
        <v>4</v>
      </c>
      <c r="D9" s="44">
        <v>2</v>
      </c>
      <c r="E9" s="45">
        <v>44983</v>
      </c>
      <c r="F9" s="46"/>
      <c r="G9" s="40" t="s">
        <v>107</v>
      </c>
      <c r="H9" s="44"/>
      <c r="I9" s="44"/>
      <c r="J9" s="45"/>
      <c r="K9" s="46"/>
      <c r="L9" s="46" t="s">
        <v>108</v>
      </c>
      <c r="M9" s="44"/>
      <c r="N9" s="44"/>
      <c r="O9" s="44">
        <v>1</v>
      </c>
      <c r="P9" s="44" t="s">
        <v>23</v>
      </c>
      <c r="Q9" s="47">
        <v>300434066480130</v>
      </c>
      <c r="R9" s="47" t="s">
        <v>93</v>
      </c>
      <c r="S9" s="48">
        <v>44984.416990740741</v>
      </c>
      <c r="T9" s="44">
        <v>32.908870999999998</v>
      </c>
      <c r="U9" s="44">
        <v>-117.73746199999999</v>
      </c>
      <c r="V9" s="48">
        <v>44984.896157407406</v>
      </c>
      <c r="W9" s="44">
        <v>32.92512</v>
      </c>
      <c r="X9" s="44">
        <v>-117.753174</v>
      </c>
      <c r="Y9" s="49">
        <f t="shared" si="2"/>
        <v>11.499999999941792</v>
      </c>
      <c r="Z9" s="50">
        <v>0.59861111111111109</v>
      </c>
      <c r="AA9" s="50">
        <v>7.3611111111111113E-2</v>
      </c>
      <c r="AB9" s="44">
        <v>250</v>
      </c>
      <c r="AC9" s="44"/>
      <c r="AD9" s="44"/>
    </row>
    <row r="10" spans="1:30" s="51" customFormat="1" ht="16" x14ac:dyDescent="0.2">
      <c r="A10" s="44">
        <v>7</v>
      </c>
      <c r="B10" s="44" t="s">
        <v>88</v>
      </c>
      <c r="C10" s="44">
        <v>4</v>
      </c>
      <c r="D10" s="44">
        <v>3</v>
      </c>
      <c r="E10" s="45">
        <v>44983</v>
      </c>
      <c r="F10" s="46"/>
      <c r="G10" s="40" t="s">
        <v>107</v>
      </c>
      <c r="H10" s="44"/>
      <c r="I10" s="44"/>
      <c r="J10" s="45"/>
      <c r="K10" s="46"/>
      <c r="L10" s="46" t="s">
        <v>108</v>
      </c>
      <c r="M10" s="44"/>
      <c r="N10" s="44"/>
      <c r="O10" s="44">
        <v>1</v>
      </c>
      <c r="P10" s="44" t="s">
        <v>23</v>
      </c>
      <c r="Q10" s="47">
        <v>300434066480130</v>
      </c>
      <c r="R10" s="47" t="s">
        <v>93</v>
      </c>
      <c r="S10" s="48">
        <v>44984.896157407406</v>
      </c>
      <c r="T10" s="44">
        <v>32.92512</v>
      </c>
      <c r="U10" s="44">
        <v>-117.753174</v>
      </c>
      <c r="V10" s="48">
        <v>44985.399629629632</v>
      </c>
      <c r="W10" s="44">
        <v>32.922975999999998</v>
      </c>
      <c r="X10" s="44">
        <v>-117.769451</v>
      </c>
      <c r="Y10" s="49">
        <f t="shared" si="2"/>
        <v>12.083333333430346</v>
      </c>
      <c r="Z10" s="50">
        <v>0.59861111111111109</v>
      </c>
      <c r="AA10" s="50">
        <v>7.3611111111111113E-2</v>
      </c>
      <c r="AB10" s="44">
        <v>250</v>
      </c>
      <c r="AC10" s="44"/>
      <c r="AD10" s="44"/>
    </row>
    <row r="11" spans="1:30" s="51" customFormat="1" ht="16" x14ac:dyDescent="0.2">
      <c r="A11" s="44">
        <v>7</v>
      </c>
      <c r="B11" s="44" t="s">
        <v>88</v>
      </c>
      <c r="C11" s="44">
        <v>4</v>
      </c>
      <c r="D11" s="44">
        <v>4</v>
      </c>
      <c r="E11" s="45">
        <v>44983</v>
      </c>
      <c r="F11" s="46"/>
      <c r="G11" s="40" t="s">
        <v>107</v>
      </c>
      <c r="H11" s="44"/>
      <c r="I11" s="44"/>
      <c r="J11" s="45"/>
      <c r="K11" s="46"/>
      <c r="L11" s="46" t="s">
        <v>108</v>
      </c>
      <c r="M11" s="44"/>
      <c r="N11" s="44"/>
      <c r="O11" s="44">
        <v>1</v>
      </c>
      <c r="P11" s="44" t="s">
        <v>23</v>
      </c>
      <c r="Q11" s="47">
        <v>300434066480130</v>
      </c>
      <c r="R11" s="47" t="s">
        <v>93</v>
      </c>
      <c r="S11" s="48">
        <v>44985.403113425928</v>
      </c>
      <c r="T11" s="44">
        <v>32.922437000000002</v>
      </c>
      <c r="U11" s="44">
        <v>-117.76988799999999</v>
      </c>
      <c r="V11" s="48">
        <v>44985.885740740741</v>
      </c>
      <c r="W11" s="44">
        <v>32.938851</v>
      </c>
      <c r="X11" s="44">
        <v>-117.768916</v>
      </c>
      <c r="Y11" s="49">
        <f t="shared" si="2"/>
        <v>11.583055555529427</v>
      </c>
      <c r="Z11" s="50">
        <v>0.59861111111111109</v>
      </c>
      <c r="AA11" s="50">
        <v>7.3611111111111113E-2</v>
      </c>
      <c r="AB11" s="44">
        <v>250</v>
      </c>
      <c r="AC11" s="44"/>
      <c r="AD11" s="44"/>
    </row>
    <row r="12" spans="1:30"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2"/>
        <v>11.827222222171258</v>
      </c>
      <c r="Z12" s="26">
        <v>0.59861111111111109</v>
      </c>
      <c r="AA12" s="26">
        <v>7.3611111111111113E-2</v>
      </c>
      <c r="AB12" s="20">
        <v>250</v>
      </c>
      <c r="AC12" s="20"/>
      <c r="AD12" s="20"/>
    </row>
    <row r="13" spans="1:30"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2"/>
        <v>11.333333333255723</v>
      </c>
      <c r="Z13" s="26">
        <v>0.59861111111111109</v>
      </c>
      <c r="AA13" s="26">
        <v>7.3611111111111113E-2</v>
      </c>
      <c r="AB13" s="20">
        <v>250</v>
      </c>
      <c r="AC13" s="20"/>
      <c r="AD13" s="20"/>
    </row>
    <row r="14" spans="1:30" s="51" customFormat="1" ht="16" x14ac:dyDescent="0.2">
      <c r="A14" s="44">
        <v>9</v>
      </c>
      <c r="B14" s="44" t="s">
        <v>88</v>
      </c>
      <c r="C14" s="44">
        <v>6</v>
      </c>
      <c r="D14" s="44">
        <v>1</v>
      </c>
      <c r="E14" s="45">
        <v>44985</v>
      </c>
      <c r="F14" s="46"/>
      <c r="G14" s="40" t="s">
        <v>111</v>
      </c>
      <c r="H14" s="44">
        <v>32.912492</v>
      </c>
      <c r="I14" s="44">
        <v>-117.69094200000001</v>
      </c>
      <c r="J14" s="45"/>
      <c r="K14" s="46"/>
      <c r="L14" s="46" t="s">
        <v>112</v>
      </c>
      <c r="M14" s="44"/>
      <c r="N14" s="44"/>
      <c r="O14" s="44">
        <v>4</v>
      </c>
      <c r="P14" s="44" t="s">
        <v>30</v>
      </c>
      <c r="Q14" s="47">
        <v>300434066489180</v>
      </c>
      <c r="R14" s="47" t="s">
        <v>95</v>
      </c>
      <c r="S14" s="48">
        <v>44985.715925925928</v>
      </c>
      <c r="T14" s="44">
        <v>32.911934000000002</v>
      </c>
      <c r="U14" s="44">
        <v>-117.691322</v>
      </c>
      <c r="V14" s="48">
        <v>44985.788761574076</v>
      </c>
      <c r="W14" s="44">
        <v>32.910586000000002</v>
      </c>
      <c r="X14" s="44">
        <v>-117.69389</v>
      </c>
      <c r="Y14" s="49">
        <f t="shared" si="2"/>
        <v>1.7480555555666797</v>
      </c>
      <c r="Z14" s="50">
        <v>0.59861111111111109</v>
      </c>
      <c r="AA14" s="50">
        <v>7.3611111111111113E-2</v>
      </c>
      <c r="AB14" s="44">
        <v>250</v>
      </c>
      <c r="AC14" s="44"/>
      <c r="AD14" s="44" t="s">
        <v>31</v>
      </c>
    </row>
    <row r="15" spans="1:30"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2"/>
        <v>1.0922222222434357</v>
      </c>
      <c r="Z15" s="26">
        <v>0.52916666666666667</v>
      </c>
      <c r="AA15" s="26">
        <v>0.12291666666666667</v>
      </c>
      <c r="AB15" s="20">
        <v>250</v>
      </c>
      <c r="AC15" s="20"/>
      <c r="AD15" s="20" t="s">
        <v>34</v>
      </c>
    </row>
    <row r="16" spans="1:30" s="51" customFormat="1" ht="16" x14ac:dyDescent="0.2">
      <c r="A16" s="44">
        <v>11</v>
      </c>
      <c r="B16" s="44" t="s">
        <v>87</v>
      </c>
      <c r="C16" s="44">
        <v>4</v>
      </c>
      <c r="D16" s="44">
        <v>1</v>
      </c>
      <c r="E16" s="45">
        <v>45084</v>
      </c>
      <c r="F16" s="46"/>
      <c r="G16" s="40" t="s">
        <v>99</v>
      </c>
      <c r="H16" s="44"/>
      <c r="I16" s="44"/>
      <c r="J16" s="45"/>
      <c r="K16" s="46"/>
      <c r="L16" s="46" t="s">
        <v>100</v>
      </c>
      <c r="M16" s="44"/>
      <c r="N16" s="44"/>
      <c r="O16" s="44">
        <v>1</v>
      </c>
      <c r="P16" s="44" t="s">
        <v>23</v>
      </c>
      <c r="Q16" s="47">
        <v>300434066482170</v>
      </c>
      <c r="R16" s="47" t="s">
        <v>93</v>
      </c>
      <c r="S16" s="48">
        <v>45084.72278935185</v>
      </c>
      <c r="T16" s="44">
        <v>32.907145</v>
      </c>
      <c r="U16" s="44">
        <v>-117.747221</v>
      </c>
      <c r="V16" s="48">
        <v>45085.253900462965</v>
      </c>
      <c r="W16" s="44">
        <v>32.939883999999999</v>
      </c>
      <c r="X16" s="44">
        <v>-117.83437499999999</v>
      </c>
      <c r="Y16" s="49">
        <f t="shared" si="2"/>
        <v>12.746666666760575</v>
      </c>
      <c r="Z16" s="50">
        <v>0.52916666666666667</v>
      </c>
      <c r="AA16" s="50">
        <v>0.12291666666666667</v>
      </c>
      <c r="AB16" s="44">
        <v>250</v>
      </c>
      <c r="AC16" s="44"/>
      <c r="AD16" s="44"/>
    </row>
    <row r="17" spans="1:30" s="51" customFormat="1" ht="16" x14ac:dyDescent="0.2">
      <c r="A17" s="44">
        <v>11</v>
      </c>
      <c r="B17" s="44" t="s">
        <v>87</v>
      </c>
      <c r="C17" s="44">
        <v>4</v>
      </c>
      <c r="D17" s="44">
        <v>2</v>
      </c>
      <c r="E17" s="45">
        <v>45084</v>
      </c>
      <c r="F17" s="46"/>
      <c r="G17" s="40" t="s">
        <v>99</v>
      </c>
      <c r="H17" s="44"/>
      <c r="I17" s="44"/>
      <c r="J17" s="45"/>
      <c r="K17" s="46"/>
      <c r="L17" s="46" t="s">
        <v>100</v>
      </c>
      <c r="M17" s="44"/>
      <c r="N17" s="44"/>
      <c r="O17" s="44">
        <v>1</v>
      </c>
      <c r="P17" s="44" t="s">
        <v>23</v>
      </c>
      <c r="Q17" s="47">
        <v>300434066482170</v>
      </c>
      <c r="R17" s="47" t="s">
        <v>93</v>
      </c>
      <c r="S17" s="52">
        <v>45085.26767361111</v>
      </c>
      <c r="T17" s="53">
        <v>32.939607000000002</v>
      </c>
      <c r="U17" s="53">
        <v>-117.834576</v>
      </c>
      <c r="V17" s="52">
        <v>45085.753796296296</v>
      </c>
      <c r="W17" s="53">
        <v>32.963126000000003</v>
      </c>
      <c r="X17" s="53">
        <v>-117.875584</v>
      </c>
      <c r="Y17" s="49">
        <f t="shared" si="2"/>
        <v>11.666944444470573</v>
      </c>
      <c r="Z17" s="50">
        <v>0.52916666666666667</v>
      </c>
      <c r="AA17" s="50">
        <v>0.12291666666666667</v>
      </c>
      <c r="AB17" s="44">
        <v>250</v>
      </c>
      <c r="AC17" s="44"/>
      <c r="AD17" s="44"/>
    </row>
    <row r="18" spans="1:30"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2"/>
        <v>11.996666666585952</v>
      </c>
      <c r="Z18" s="26">
        <v>0.52916666666666667</v>
      </c>
      <c r="AA18" s="26">
        <v>0.12291666666666667</v>
      </c>
      <c r="AB18" s="20">
        <v>250</v>
      </c>
      <c r="AC18" s="20"/>
      <c r="AD18" s="20"/>
    </row>
    <row r="19" spans="1:30"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2"/>
        <v>10.817222222336568</v>
      </c>
      <c r="Z19" s="26">
        <v>0.52916666666666667</v>
      </c>
      <c r="AA19" s="26">
        <v>0.12291666666666667</v>
      </c>
      <c r="AB19" s="20">
        <v>250</v>
      </c>
      <c r="AC19" s="20"/>
      <c r="AD19" s="20"/>
    </row>
    <row r="20" spans="1:30" s="55" customFormat="1" ht="16" x14ac:dyDescent="0.2">
      <c r="A20" s="44">
        <v>13</v>
      </c>
      <c r="B20" s="44" t="s">
        <v>41</v>
      </c>
      <c r="C20" s="44">
        <v>6</v>
      </c>
      <c r="D20" s="44">
        <v>1</v>
      </c>
      <c r="E20" s="45">
        <v>45176</v>
      </c>
      <c r="F20" s="46">
        <v>0.37708333333333338</v>
      </c>
      <c r="G20" s="40">
        <f>$E20+$F20+TIME(AC20,0,0)</f>
        <v>45176.668749999997</v>
      </c>
      <c r="H20" s="44">
        <v>32.910367999999998</v>
      </c>
      <c r="I20" s="44">
        <v>-117.737223</v>
      </c>
      <c r="J20" s="45">
        <v>45180</v>
      </c>
      <c r="K20" s="46">
        <v>0.25</v>
      </c>
      <c r="L20" s="54">
        <f>$J20+$K20 +TIME($AC20,0,0)</f>
        <v>45180.541666666664</v>
      </c>
      <c r="M20" s="44"/>
      <c r="N20" s="44"/>
      <c r="O20" s="44">
        <v>4</v>
      </c>
      <c r="P20" s="44" t="s">
        <v>30</v>
      </c>
      <c r="Q20" s="47">
        <v>300434066480130</v>
      </c>
      <c r="R20" s="47" t="s">
        <v>95</v>
      </c>
      <c r="S20" s="52">
        <v>45176.681122685186</v>
      </c>
      <c r="T20" s="53">
        <v>32.911997999999997</v>
      </c>
      <c r="U20" s="53">
        <v>-117.736034</v>
      </c>
      <c r="V20" s="52">
        <v>45180.389189814814</v>
      </c>
      <c r="W20" s="53">
        <v>32.880761</v>
      </c>
      <c r="X20" s="53">
        <v>-117.434878</v>
      </c>
      <c r="Y20" s="49">
        <f t="shared" si="2"/>
        <v>88.993611111072823</v>
      </c>
      <c r="Z20" s="50">
        <v>0.57361111111111118</v>
      </c>
      <c r="AA20" s="50">
        <v>6.2847222222222221E-2</v>
      </c>
      <c r="AB20" s="44">
        <v>250</v>
      </c>
      <c r="AC20" s="44">
        <v>7</v>
      </c>
      <c r="AD20" s="44" t="s">
        <v>133</v>
      </c>
    </row>
    <row r="21" spans="1:30" s="31" customFormat="1" ht="15.75" customHeight="1" x14ac:dyDescent="0.2">
      <c r="A21" s="20">
        <v>14</v>
      </c>
      <c r="B21" s="20" t="s">
        <v>40</v>
      </c>
      <c r="C21" s="20">
        <v>4</v>
      </c>
      <c r="D21" s="20">
        <v>1</v>
      </c>
      <c r="E21" s="21">
        <v>45203</v>
      </c>
      <c r="F21" s="22">
        <v>0.29722222222222222</v>
      </c>
      <c r="G21" s="10">
        <f t="shared" ref="G21:G39" si="3">$E21+$F21+TIME(AC21,0,0)</f>
        <v>45203.463888888888</v>
      </c>
      <c r="H21" s="20">
        <v>38.709972999999998</v>
      </c>
      <c r="I21" s="20">
        <v>-64.031019999999998</v>
      </c>
      <c r="J21" s="21">
        <v>45204</v>
      </c>
      <c r="K21" s="22">
        <v>0.61805555555555558</v>
      </c>
      <c r="L21" s="30">
        <f t="shared" ref="L21:L40" si="4">$J21+$K21 +TIME($AC21,0,0)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2"/>
        <v>30.815277777670417</v>
      </c>
      <c r="Z21" s="26">
        <v>0.42708333333333331</v>
      </c>
      <c r="AA21" s="26">
        <v>0.91180555555555554</v>
      </c>
      <c r="AB21" s="20">
        <v>300</v>
      </c>
      <c r="AC21" s="20">
        <v>4</v>
      </c>
      <c r="AD21" s="20" t="s">
        <v>42</v>
      </c>
    </row>
    <row r="22" spans="1:30" s="55" customFormat="1" ht="15.75" customHeight="1" x14ac:dyDescent="0.2">
      <c r="A22" s="44">
        <v>15</v>
      </c>
      <c r="B22" s="44" t="s">
        <v>40</v>
      </c>
      <c r="C22" s="44">
        <v>5</v>
      </c>
      <c r="D22" s="44">
        <v>1</v>
      </c>
      <c r="E22" s="45">
        <v>45203</v>
      </c>
      <c r="F22" s="46">
        <v>0.29444444444444445</v>
      </c>
      <c r="G22" s="40">
        <f t="shared" si="3"/>
        <v>45203.461111111108</v>
      </c>
      <c r="H22" s="44">
        <v>38.708799999999997</v>
      </c>
      <c r="I22" s="44">
        <v>-64.031542999999999</v>
      </c>
      <c r="J22" s="45">
        <v>45205</v>
      </c>
      <c r="K22" s="46">
        <v>0.37847222222222227</v>
      </c>
      <c r="L22" s="54">
        <f t="shared" si="4"/>
        <v>45205.545138888883</v>
      </c>
      <c r="M22" s="44">
        <v>38.943779999999997</v>
      </c>
      <c r="N22" s="44">
        <v>-64.196479999999994</v>
      </c>
      <c r="O22" s="44">
        <v>3</v>
      </c>
      <c r="P22" s="44" t="s">
        <v>29</v>
      </c>
      <c r="Q22" s="47">
        <v>300434066482170</v>
      </c>
      <c r="R22" s="47" t="s">
        <v>37</v>
      </c>
      <c r="S22" s="48">
        <v>45203.535277777781</v>
      </c>
      <c r="T22" s="53">
        <v>38.722087999999999</v>
      </c>
      <c r="U22" s="53">
        <v>-64.021294999999995</v>
      </c>
      <c r="V22" s="48">
        <v>45204.719074074077</v>
      </c>
      <c r="W22" s="53">
        <v>38.866824999999999</v>
      </c>
      <c r="X22" s="53">
        <v>-64.043930000000003</v>
      </c>
      <c r="Y22" s="49">
        <f t="shared" si="2"/>
        <v>28.411111111112405</v>
      </c>
      <c r="Z22" s="50">
        <v>0.42708333333333331</v>
      </c>
      <c r="AA22" s="50">
        <v>0.91180555555555554</v>
      </c>
      <c r="AB22" s="44">
        <v>300</v>
      </c>
      <c r="AC22" s="44">
        <v>4</v>
      </c>
      <c r="AD22" s="44" t="s">
        <v>49</v>
      </c>
    </row>
    <row r="23" spans="1:30" s="55" customFormat="1" ht="15.75" customHeight="1" x14ac:dyDescent="0.2">
      <c r="A23" s="44">
        <v>15</v>
      </c>
      <c r="B23" s="44" t="s">
        <v>40</v>
      </c>
      <c r="C23" s="44">
        <v>5</v>
      </c>
      <c r="D23" s="44">
        <v>2</v>
      </c>
      <c r="E23" s="45">
        <v>45203</v>
      </c>
      <c r="F23" s="46">
        <v>0.29444444444444445</v>
      </c>
      <c r="G23" s="40">
        <f t="shared" si="3"/>
        <v>45203.461111111108</v>
      </c>
      <c r="H23" s="44">
        <v>38.708799999999997</v>
      </c>
      <c r="I23" s="44">
        <v>-64.031542999999999</v>
      </c>
      <c r="J23" s="45">
        <v>45205</v>
      </c>
      <c r="K23" s="46">
        <v>0.37847222222222227</v>
      </c>
      <c r="L23" s="54">
        <f t="shared" si="4"/>
        <v>45205.545138888883</v>
      </c>
      <c r="M23" s="44">
        <v>38.943779999999997</v>
      </c>
      <c r="N23" s="44">
        <v>-64.196479999999994</v>
      </c>
      <c r="O23" s="44">
        <v>3</v>
      </c>
      <c r="P23" s="44" t="s">
        <v>29</v>
      </c>
      <c r="Q23" s="47">
        <v>300434066482170</v>
      </c>
      <c r="R23" s="47" t="s">
        <v>37</v>
      </c>
      <c r="S23" s="52">
        <v>45204.812939814816</v>
      </c>
      <c r="T23" s="53">
        <v>38.887227000000003</v>
      </c>
      <c r="U23" s="53">
        <v>-64.073801000000003</v>
      </c>
      <c r="V23" s="52">
        <v>45205.389224537037</v>
      </c>
      <c r="W23" s="53">
        <v>38.930204000000003</v>
      </c>
      <c r="X23" s="53">
        <v>-64.167721999999998</v>
      </c>
      <c r="Y23" s="49">
        <f t="shared" si="2"/>
        <v>13.830833333311602</v>
      </c>
      <c r="Z23" s="50">
        <v>0.42708333333333331</v>
      </c>
      <c r="AA23" s="50">
        <v>0.91180555555555554</v>
      </c>
      <c r="AB23" s="44">
        <v>300</v>
      </c>
      <c r="AC23" s="44">
        <v>4</v>
      </c>
      <c r="AD23" s="44" t="s">
        <v>49</v>
      </c>
    </row>
    <row r="24" spans="1:30" s="31" customFormat="1" ht="15.75" customHeight="1" x14ac:dyDescent="0.2">
      <c r="A24" s="20">
        <v>16</v>
      </c>
      <c r="B24" s="20" t="s">
        <v>40</v>
      </c>
      <c r="C24" s="20">
        <v>6</v>
      </c>
      <c r="D24" s="20">
        <v>1</v>
      </c>
      <c r="E24" s="21">
        <v>45203</v>
      </c>
      <c r="F24" s="22">
        <v>0.3034722222222222</v>
      </c>
      <c r="G24" s="10">
        <f t="shared" si="3"/>
        <v>45203.470138888886</v>
      </c>
      <c r="H24" s="20">
        <v>38.710590000000003</v>
      </c>
      <c r="I24" s="20">
        <v>-64.028107000000006</v>
      </c>
      <c r="J24" s="21">
        <v>45205</v>
      </c>
      <c r="K24" s="22">
        <v>0.35416666666666669</v>
      </c>
      <c r="L24" s="30">
        <f t="shared" si="4"/>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2"/>
        <v>28.410833333444316</v>
      </c>
      <c r="Z24" s="26">
        <v>0.42708333333333331</v>
      </c>
      <c r="AA24" s="26">
        <v>0.91180555555555554</v>
      </c>
      <c r="AB24" s="20">
        <v>300</v>
      </c>
      <c r="AC24" s="20">
        <v>4</v>
      </c>
      <c r="AD24" s="20"/>
    </row>
    <row r="25" spans="1:30" s="31" customFormat="1" ht="15.75" customHeight="1" x14ac:dyDescent="0.2">
      <c r="A25" s="20">
        <v>16</v>
      </c>
      <c r="B25" s="20" t="s">
        <v>40</v>
      </c>
      <c r="C25" s="20">
        <v>6</v>
      </c>
      <c r="D25" s="20">
        <v>2</v>
      </c>
      <c r="E25" s="21">
        <v>45203</v>
      </c>
      <c r="F25" s="22">
        <v>0.3034722222222222</v>
      </c>
      <c r="G25" s="10">
        <f t="shared" si="3"/>
        <v>45203.470138888886</v>
      </c>
      <c r="H25" s="20">
        <v>38.710590000000003</v>
      </c>
      <c r="I25" s="20">
        <v>-64.028107000000006</v>
      </c>
      <c r="J25" s="21">
        <v>45205</v>
      </c>
      <c r="K25" s="22">
        <v>0.35416666666666669</v>
      </c>
      <c r="L25" s="30">
        <f t="shared" si="4"/>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2"/>
        <v>14.916388888901565</v>
      </c>
      <c r="Z25" s="26">
        <v>0.42708333333333331</v>
      </c>
      <c r="AA25" s="26">
        <v>0.91180555555555554</v>
      </c>
      <c r="AB25" s="20">
        <v>300</v>
      </c>
      <c r="AC25" s="20">
        <v>4</v>
      </c>
      <c r="AD25" s="20"/>
    </row>
    <row r="26" spans="1:30" s="55" customFormat="1" ht="15.75" customHeight="1" x14ac:dyDescent="0.2">
      <c r="A26" s="44">
        <v>17</v>
      </c>
      <c r="B26" s="44" t="s">
        <v>40</v>
      </c>
      <c r="C26" s="44">
        <v>6</v>
      </c>
      <c r="D26" s="44">
        <v>1</v>
      </c>
      <c r="E26" s="45">
        <v>45207</v>
      </c>
      <c r="F26" s="46">
        <v>0.92152777777777783</v>
      </c>
      <c r="G26" s="40">
        <f t="shared" si="3"/>
        <v>45208.088194444441</v>
      </c>
      <c r="H26" s="44">
        <v>38.767780000000002</v>
      </c>
      <c r="I26" s="44">
        <v>-63.738374</v>
      </c>
      <c r="J26" s="45">
        <v>45210</v>
      </c>
      <c r="K26" s="46">
        <v>0.40625</v>
      </c>
      <c r="L26" s="54">
        <f t="shared" si="4"/>
        <v>45210.572916666664</v>
      </c>
      <c r="M26" s="55">
        <v>38.954067000000002</v>
      </c>
      <c r="N26" s="44">
        <v>-63.862921999999998</v>
      </c>
      <c r="O26" s="44">
        <v>4</v>
      </c>
      <c r="P26" s="44" t="s">
        <v>29</v>
      </c>
      <c r="Q26" s="47">
        <v>300434066480130</v>
      </c>
      <c r="R26" s="47" t="s">
        <v>44</v>
      </c>
      <c r="S26" s="52">
        <v>45208.132511574076</v>
      </c>
      <c r="T26" s="56">
        <v>38.769841999999997</v>
      </c>
      <c r="U26" s="56">
        <v>-63.7483</v>
      </c>
      <c r="V26" s="52">
        <v>45208.63921296296</v>
      </c>
      <c r="W26" s="56">
        <v>38.832385000000002</v>
      </c>
      <c r="X26" s="56">
        <v>-63.796340000000001</v>
      </c>
      <c r="Y26" s="49">
        <f t="shared" si="2"/>
        <v>12.160833333211485</v>
      </c>
      <c r="Z26" s="50">
        <v>0.42708333333333298</v>
      </c>
      <c r="AA26" s="50">
        <v>0.91180555555555598</v>
      </c>
      <c r="AB26" s="44">
        <v>200</v>
      </c>
      <c r="AC26" s="44">
        <v>4</v>
      </c>
      <c r="AD26" s="44"/>
    </row>
    <row r="27" spans="1:30" s="55" customFormat="1" ht="15.75" customHeight="1" x14ac:dyDescent="0.2">
      <c r="A27" s="44">
        <v>17</v>
      </c>
      <c r="B27" s="44" t="s">
        <v>40</v>
      </c>
      <c r="C27" s="44">
        <v>6</v>
      </c>
      <c r="D27" s="44">
        <v>2</v>
      </c>
      <c r="E27" s="45">
        <v>45207</v>
      </c>
      <c r="F27" s="46">
        <v>0.92152777777777783</v>
      </c>
      <c r="G27" s="40">
        <f t="shared" si="3"/>
        <v>45208.088194444441</v>
      </c>
      <c r="H27" s="44">
        <v>38.767780000000002</v>
      </c>
      <c r="I27" s="44">
        <v>-63.738374</v>
      </c>
      <c r="J27" s="45">
        <v>45210</v>
      </c>
      <c r="K27" s="46">
        <v>0.40625</v>
      </c>
      <c r="L27" s="54">
        <f t="shared" si="4"/>
        <v>45210.572916666664</v>
      </c>
      <c r="M27" s="55">
        <v>38.954067000000002</v>
      </c>
      <c r="N27" s="44">
        <v>-63.862921999999998</v>
      </c>
      <c r="O27" s="44">
        <v>4</v>
      </c>
      <c r="P27" s="44" t="s">
        <v>29</v>
      </c>
      <c r="Q27" s="47">
        <v>300434066480130</v>
      </c>
      <c r="R27" s="47" t="s">
        <v>44</v>
      </c>
      <c r="S27" s="52">
        <v>45208.771828703706</v>
      </c>
      <c r="T27" s="56">
        <v>38.857106999999999</v>
      </c>
      <c r="U27" s="56">
        <v>-63.781923999999997</v>
      </c>
      <c r="V27" s="52">
        <v>45209.656574074077</v>
      </c>
      <c r="W27" s="56">
        <v>38.923247000000003</v>
      </c>
      <c r="X27" s="56">
        <v>-63.812421999999998</v>
      </c>
      <c r="Y27" s="49">
        <f t="shared" si="2"/>
        <v>21.233888888906222</v>
      </c>
      <c r="Z27" s="50">
        <v>0.42708333333333298</v>
      </c>
      <c r="AA27" s="50">
        <v>0.91180555555555598</v>
      </c>
      <c r="AB27" s="44">
        <v>300</v>
      </c>
      <c r="AC27" s="44">
        <v>4</v>
      </c>
      <c r="AD27" s="44"/>
    </row>
    <row r="28" spans="1:30" s="55" customFormat="1" ht="15.75" customHeight="1" x14ac:dyDescent="0.2">
      <c r="A28" s="44">
        <v>17</v>
      </c>
      <c r="B28" s="44" t="s">
        <v>40</v>
      </c>
      <c r="C28" s="44">
        <v>6</v>
      </c>
      <c r="D28" s="44">
        <v>3</v>
      </c>
      <c r="E28" s="45">
        <v>45207</v>
      </c>
      <c r="F28" s="46">
        <v>0.92152777777777783</v>
      </c>
      <c r="G28" s="40">
        <f t="shared" si="3"/>
        <v>45208.088194444441</v>
      </c>
      <c r="H28" s="44">
        <v>38.767780000000002</v>
      </c>
      <c r="I28" s="44">
        <v>-63.738374</v>
      </c>
      <c r="J28" s="45">
        <v>45210</v>
      </c>
      <c r="K28" s="46">
        <v>0.40625</v>
      </c>
      <c r="L28" s="54">
        <f t="shared" si="4"/>
        <v>45210.572916666664</v>
      </c>
      <c r="M28" s="55">
        <v>38.954067000000002</v>
      </c>
      <c r="N28" s="44">
        <v>-63.862921999999998</v>
      </c>
      <c r="O28" s="44">
        <v>4</v>
      </c>
      <c r="P28" s="44" t="s">
        <v>29</v>
      </c>
      <c r="Q28" s="47">
        <v>300434066480130</v>
      </c>
      <c r="R28" s="47" t="s">
        <v>44</v>
      </c>
      <c r="S28" s="52">
        <v>45209.750567129631</v>
      </c>
      <c r="T28" s="56">
        <v>38.923658000000003</v>
      </c>
      <c r="U28" s="56">
        <v>-63.819659000000001</v>
      </c>
      <c r="V28" s="52">
        <v>45210.542002314818</v>
      </c>
      <c r="W28" s="56">
        <v>38.940576999999998</v>
      </c>
      <c r="X28" s="56">
        <v>-63.867663</v>
      </c>
      <c r="Y28" s="49">
        <f t="shared" si="2"/>
        <v>18.994444444484543</v>
      </c>
      <c r="Z28" s="50">
        <v>0.42708333333333298</v>
      </c>
      <c r="AA28" s="50">
        <v>0.91180555555555598</v>
      </c>
      <c r="AB28" s="44">
        <v>200</v>
      </c>
      <c r="AC28" s="44">
        <v>4</v>
      </c>
      <c r="AD28" s="44"/>
    </row>
    <row r="29" spans="1:30" s="31" customFormat="1" ht="15.75" customHeight="1" x14ac:dyDescent="0.2">
      <c r="A29" s="20">
        <v>18</v>
      </c>
      <c r="B29" s="20" t="s">
        <v>40</v>
      </c>
      <c r="C29" s="20">
        <v>4</v>
      </c>
      <c r="D29" s="20">
        <v>1</v>
      </c>
      <c r="E29" s="21">
        <v>45207</v>
      </c>
      <c r="F29" s="22">
        <v>0.9243055555555556</v>
      </c>
      <c r="G29" s="10">
        <f t="shared" si="3"/>
        <v>45208.09097222222</v>
      </c>
      <c r="H29" s="20">
        <v>38.768692000000001</v>
      </c>
      <c r="I29" s="20">
        <v>-63.73818</v>
      </c>
      <c r="J29" s="21">
        <v>45210</v>
      </c>
      <c r="K29" s="22">
        <v>0.31180555555555556</v>
      </c>
      <c r="L29" s="30">
        <f t="shared" si="4"/>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2"/>
        <v>13.330555555585306</v>
      </c>
      <c r="Z29" s="26">
        <v>0.42708333333333298</v>
      </c>
      <c r="AA29" s="26">
        <v>0.91180555555555598</v>
      </c>
      <c r="AB29" s="20">
        <v>300</v>
      </c>
      <c r="AC29" s="20">
        <v>4</v>
      </c>
      <c r="AD29" s="20" t="s">
        <v>46</v>
      </c>
    </row>
    <row r="30" spans="1:30" s="31" customFormat="1" ht="15.75" customHeight="1" x14ac:dyDescent="0.2">
      <c r="A30" s="20">
        <v>18</v>
      </c>
      <c r="B30" s="20" t="s">
        <v>40</v>
      </c>
      <c r="C30" s="20">
        <v>4</v>
      </c>
      <c r="D30" s="20">
        <v>2</v>
      </c>
      <c r="E30" s="21">
        <v>45207</v>
      </c>
      <c r="F30" s="22">
        <v>0.9243055555555556</v>
      </c>
      <c r="G30" s="10">
        <f t="shared" si="3"/>
        <v>45208.09097222222</v>
      </c>
      <c r="H30" s="20">
        <v>38.768692000000001</v>
      </c>
      <c r="I30" s="20">
        <v>-63.73818</v>
      </c>
      <c r="J30" s="21">
        <v>45210</v>
      </c>
      <c r="K30" s="22">
        <v>0.31180555555555556</v>
      </c>
      <c r="L30" s="30">
        <f t="shared" si="4"/>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2"/>
        <v>20.991944444307592</v>
      </c>
      <c r="Z30" s="26">
        <v>0.42708333333333298</v>
      </c>
      <c r="AA30" s="26">
        <v>0.91180555555555598</v>
      </c>
      <c r="AB30" s="20">
        <v>200</v>
      </c>
      <c r="AC30" s="20">
        <v>4</v>
      </c>
      <c r="AD30" s="20"/>
    </row>
    <row r="31" spans="1:30" s="55" customFormat="1" ht="15.75" customHeight="1" x14ac:dyDescent="0.2">
      <c r="A31" s="44">
        <v>19</v>
      </c>
      <c r="B31" s="44" t="s">
        <v>40</v>
      </c>
      <c r="C31" s="44">
        <v>5</v>
      </c>
      <c r="D31" s="44">
        <v>1</v>
      </c>
      <c r="E31" s="45">
        <v>45208</v>
      </c>
      <c r="F31" s="46">
        <v>0.59722222222222221</v>
      </c>
      <c r="G31" s="40">
        <f t="shared" si="3"/>
        <v>45208.763888888883</v>
      </c>
      <c r="H31" s="44">
        <v>38.826842999999997</v>
      </c>
      <c r="I31" s="44">
        <v>-63.845635000000001</v>
      </c>
      <c r="J31" s="45">
        <v>45209</v>
      </c>
      <c r="K31" s="46">
        <v>0.36805555555555558</v>
      </c>
      <c r="L31" s="54">
        <f t="shared" si="4"/>
        <v>45209.534722222219</v>
      </c>
      <c r="M31" s="44">
        <v>38.862192</v>
      </c>
      <c r="N31" s="44">
        <v>-63.908256999999999</v>
      </c>
      <c r="O31" s="44">
        <v>3</v>
      </c>
      <c r="P31" s="44" t="s">
        <v>29</v>
      </c>
      <c r="Q31" s="47">
        <v>300434066482170</v>
      </c>
      <c r="R31" s="47" t="s">
        <v>37</v>
      </c>
      <c r="S31" s="52">
        <v>45208.77138888889</v>
      </c>
      <c r="T31" s="56">
        <v>38.827702000000002</v>
      </c>
      <c r="U31" s="56">
        <v>-63.844456999999998</v>
      </c>
      <c r="V31" s="48">
        <v>45209.26421296296</v>
      </c>
      <c r="W31" s="56">
        <v>38.862524999999998</v>
      </c>
      <c r="X31" s="56">
        <v>-63.894246000000003</v>
      </c>
      <c r="Y31" s="49">
        <f t="shared" si="2"/>
        <v>11.827777777682059</v>
      </c>
      <c r="Z31" s="50">
        <v>0.42708333333333298</v>
      </c>
      <c r="AA31" s="50">
        <v>0.91180555555555598</v>
      </c>
      <c r="AB31" s="44">
        <v>100</v>
      </c>
      <c r="AC31" s="44">
        <v>4</v>
      </c>
      <c r="AD31" s="44" t="s">
        <v>47</v>
      </c>
    </row>
    <row r="32" spans="1:30" s="31" customFormat="1" ht="15.75" customHeight="1" x14ac:dyDescent="0.2">
      <c r="A32" s="20">
        <v>20</v>
      </c>
      <c r="B32" s="20" t="s">
        <v>40</v>
      </c>
      <c r="C32" s="20">
        <v>5</v>
      </c>
      <c r="D32" s="20">
        <v>1</v>
      </c>
      <c r="E32" s="21">
        <v>45210</v>
      </c>
      <c r="F32" s="22">
        <v>0.48333333333333334</v>
      </c>
      <c r="G32" s="10">
        <f t="shared" si="3"/>
        <v>45210.649999999994</v>
      </c>
      <c r="H32" s="20">
        <v>38.853825000000001</v>
      </c>
      <c r="I32" s="20">
        <v>-63.903267</v>
      </c>
      <c r="J32" s="21">
        <v>45212</v>
      </c>
      <c r="K32" s="22">
        <v>0.60138888888888886</v>
      </c>
      <c r="L32" s="30">
        <f t="shared" si="4"/>
        <v>45212.768055555556</v>
      </c>
      <c r="M32" s="20">
        <v>38.899351000000003</v>
      </c>
      <c r="N32" s="20">
        <v>-63.939715</v>
      </c>
      <c r="O32" s="20">
        <v>3</v>
      </c>
      <c r="P32" s="20" t="s">
        <v>29</v>
      </c>
      <c r="Q32" s="23">
        <v>300434066482170</v>
      </c>
      <c r="R32" s="23" t="s">
        <v>37</v>
      </c>
      <c r="S32" s="28">
        <v>45210.684594907405</v>
      </c>
      <c r="T32" s="32">
        <v>38.864280999999998</v>
      </c>
      <c r="U32" s="32">
        <v>-63.895504000000003</v>
      </c>
      <c r="V32" s="28">
        <v>45211.541979166665</v>
      </c>
      <c r="W32" s="32">
        <v>38.912925999999999</v>
      </c>
      <c r="X32" s="32">
        <v>-63.895589000000001</v>
      </c>
      <c r="Y32" s="25">
        <f t="shared" si="2"/>
        <v>20.577222222229466</v>
      </c>
      <c r="Z32" s="26">
        <v>0.42708333333333298</v>
      </c>
      <c r="AA32" s="26">
        <v>0.91180555555555598</v>
      </c>
      <c r="AB32" s="20">
        <v>122</v>
      </c>
      <c r="AC32" s="20">
        <v>4</v>
      </c>
      <c r="AD32" s="20" t="s">
        <v>48</v>
      </c>
    </row>
    <row r="33" spans="1:30" s="31" customFormat="1" ht="15.75" customHeight="1" x14ac:dyDescent="0.2">
      <c r="A33" s="20">
        <v>20</v>
      </c>
      <c r="B33" s="20" t="s">
        <v>40</v>
      </c>
      <c r="C33" s="20">
        <v>5</v>
      </c>
      <c r="D33" s="20">
        <v>2</v>
      </c>
      <c r="E33" s="21">
        <v>45210</v>
      </c>
      <c r="F33" s="22">
        <v>0.48333333333333334</v>
      </c>
      <c r="G33" s="10">
        <f t="shared" si="3"/>
        <v>45210.649999999994</v>
      </c>
      <c r="H33" s="20">
        <v>38.853825000000001</v>
      </c>
      <c r="I33" s="20">
        <v>-63.903267</v>
      </c>
      <c r="J33" s="21">
        <v>45212</v>
      </c>
      <c r="K33" s="22">
        <v>0.60138888888888886</v>
      </c>
      <c r="L33" s="30">
        <f t="shared" si="4"/>
        <v>45212.768055555556</v>
      </c>
      <c r="M33" s="20">
        <v>38.899351000000003</v>
      </c>
      <c r="N33" s="20">
        <v>-63.939715</v>
      </c>
      <c r="O33" s="20">
        <v>3</v>
      </c>
      <c r="P33" s="20" t="s">
        <v>29</v>
      </c>
      <c r="Q33" s="23">
        <v>300434066482170</v>
      </c>
      <c r="R33" s="23" t="s">
        <v>37</v>
      </c>
      <c r="S33" s="28">
        <v>45211.612372685187</v>
      </c>
      <c r="T33" s="32">
        <v>38.929589</v>
      </c>
      <c r="U33" s="32">
        <v>-63.899909000000001</v>
      </c>
      <c r="V33" s="28">
        <v>45212.556122685186</v>
      </c>
      <c r="W33" s="32">
        <v>38.935225000000003</v>
      </c>
      <c r="X33" s="32">
        <v>-63.928724000000003</v>
      </c>
      <c r="Y33" s="25">
        <f t="shared" si="2"/>
        <v>22.649999999965075</v>
      </c>
      <c r="Z33" s="26">
        <v>0.42708333333333298</v>
      </c>
      <c r="AA33" s="26">
        <v>0.91180555555555598</v>
      </c>
      <c r="AB33" s="20">
        <v>400</v>
      </c>
      <c r="AC33" s="20">
        <v>4</v>
      </c>
      <c r="AD33" s="20"/>
    </row>
    <row r="34" spans="1:30" s="55" customFormat="1" ht="15.75" customHeight="1" x14ac:dyDescent="0.2">
      <c r="A34" s="44">
        <v>21</v>
      </c>
      <c r="B34" s="44" t="s">
        <v>40</v>
      </c>
      <c r="C34" s="44">
        <v>4</v>
      </c>
      <c r="D34" s="44">
        <v>1</v>
      </c>
      <c r="E34" s="45">
        <v>45211</v>
      </c>
      <c r="F34" s="46">
        <v>0.60416666666666663</v>
      </c>
      <c r="G34" s="40">
        <f t="shared" si="3"/>
        <v>45211.770833333328</v>
      </c>
      <c r="H34" s="44">
        <v>38.834505</v>
      </c>
      <c r="I34" s="44">
        <v>-63.75074</v>
      </c>
      <c r="J34" s="45">
        <v>45212</v>
      </c>
      <c r="K34" s="46">
        <v>0.54166666666666663</v>
      </c>
      <c r="L34" s="54">
        <f t="shared" si="4"/>
        <v>45212.708333333328</v>
      </c>
      <c r="M34" s="44">
        <v>38.856884999999998</v>
      </c>
      <c r="N34" s="44">
        <v>-63.746738999999998</v>
      </c>
      <c r="O34" s="44">
        <v>1</v>
      </c>
      <c r="P34" s="44" t="s">
        <v>23</v>
      </c>
      <c r="Q34" s="47">
        <v>300434066489180</v>
      </c>
      <c r="R34" s="47" t="s">
        <v>43</v>
      </c>
      <c r="S34" s="52">
        <v>45211.834328703706</v>
      </c>
      <c r="T34" s="56">
        <v>38.831561999999998</v>
      </c>
      <c r="U34" s="56">
        <v>-63.740231999999999</v>
      </c>
      <c r="V34" s="52">
        <v>45212.541990740741</v>
      </c>
      <c r="W34" s="56">
        <v>38.884850999999998</v>
      </c>
      <c r="X34" s="56">
        <v>-63.740850999999999</v>
      </c>
      <c r="Y34" s="49">
        <f t="shared" si="2"/>
        <v>16.983888888848014</v>
      </c>
      <c r="Z34" s="50">
        <v>0.42708333333333298</v>
      </c>
      <c r="AA34" s="50">
        <v>0.91180555555555598</v>
      </c>
      <c r="AB34" s="44">
        <v>125</v>
      </c>
      <c r="AC34" s="44">
        <v>4</v>
      </c>
      <c r="AD34" s="44" t="s">
        <v>52</v>
      </c>
    </row>
    <row r="35" spans="1:30" s="31" customFormat="1" ht="15.75" customHeight="1" x14ac:dyDescent="0.2">
      <c r="A35" s="20">
        <v>22</v>
      </c>
      <c r="B35" s="20" t="s">
        <v>40</v>
      </c>
      <c r="C35" s="20">
        <v>6</v>
      </c>
      <c r="D35" s="20">
        <v>1</v>
      </c>
      <c r="E35" s="21">
        <v>45211</v>
      </c>
      <c r="F35" s="22">
        <v>0.60763888888888895</v>
      </c>
      <c r="G35" s="10">
        <f t="shared" si="3"/>
        <v>45211.774305555555</v>
      </c>
      <c r="H35" s="20">
        <v>38.833615000000002</v>
      </c>
      <c r="I35" s="20">
        <v>-63.747987000000002</v>
      </c>
      <c r="J35" s="21">
        <v>45212</v>
      </c>
      <c r="K35" s="22">
        <v>0.54166666666666663</v>
      </c>
      <c r="L35" s="30">
        <f t="shared" si="4"/>
        <v>45212.708333333328</v>
      </c>
      <c r="M35" s="20">
        <v>38.856026999999997</v>
      </c>
      <c r="N35" s="20">
        <v>-63.746715999999999</v>
      </c>
      <c r="O35" s="20">
        <v>4</v>
      </c>
      <c r="P35" s="20" t="s">
        <v>29</v>
      </c>
      <c r="Q35" s="23">
        <v>300434066480130</v>
      </c>
      <c r="R35" s="23" t="s">
        <v>44</v>
      </c>
      <c r="S35" s="28">
        <v>45211.82</v>
      </c>
      <c r="T35" s="32">
        <v>38.830253999999996</v>
      </c>
      <c r="U35" s="32">
        <v>-63.738950000000003</v>
      </c>
      <c r="V35" s="28">
        <v>45212.535046296296</v>
      </c>
      <c r="W35" s="32">
        <v>38.887054999999997</v>
      </c>
      <c r="X35" s="32">
        <v>-63.744534000000002</v>
      </c>
      <c r="Y35" s="25">
        <f t="shared" si="2"/>
        <v>17.161111111112405</v>
      </c>
      <c r="Z35" s="26">
        <v>0.42708333333333298</v>
      </c>
      <c r="AA35" s="26">
        <v>0.91180555555555598</v>
      </c>
      <c r="AB35" s="20">
        <v>125</v>
      </c>
      <c r="AC35" s="20">
        <v>4</v>
      </c>
      <c r="AD35" s="20" t="s">
        <v>51</v>
      </c>
    </row>
    <row r="36" spans="1:30" s="51" customFormat="1" ht="15.75" customHeight="1" x14ac:dyDescent="0.2">
      <c r="A36" s="44">
        <v>23</v>
      </c>
      <c r="B36" s="44" t="s">
        <v>96</v>
      </c>
      <c r="C36" s="44">
        <v>5</v>
      </c>
      <c r="D36" s="44">
        <v>1</v>
      </c>
      <c r="E36" s="45">
        <v>45317</v>
      </c>
      <c r="F36" s="46">
        <v>0.50972222222222219</v>
      </c>
      <c r="G36" s="40">
        <f t="shared" si="3"/>
        <v>45317.843055555561</v>
      </c>
      <c r="H36" s="44"/>
      <c r="I36" s="44"/>
      <c r="J36" s="45">
        <v>45320</v>
      </c>
      <c r="K36" s="46">
        <v>0.57291666666666663</v>
      </c>
      <c r="L36" s="54">
        <f t="shared" si="4"/>
        <v>45320.90625</v>
      </c>
      <c r="M36" s="44"/>
      <c r="N36" s="44"/>
      <c r="O36" s="44">
        <v>3</v>
      </c>
      <c r="P36" s="44" t="s">
        <v>29</v>
      </c>
      <c r="Q36" s="47">
        <v>300434066482170</v>
      </c>
      <c r="R36" s="47" t="s">
        <v>37</v>
      </c>
      <c r="S36" s="48">
        <v>45317.875324074077</v>
      </c>
      <c r="T36" s="67">
        <v>32.909129</v>
      </c>
      <c r="U36" s="67">
        <v>-117.680663</v>
      </c>
      <c r="V36" s="48">
        <v>45318.878796296296</v>
      </c>
      <c r="W36" s="44">
        <v>32.999972</v>
      </c>
      <c r="X36" s="44">
        <v>-117.66408699999999</v>
      </c>
      <c r="Y36" s="49">
        <f t="shared" si="2"/>
        <v>24.083333333255723</v>
      </c>
      <c r="Z36" s="50">
        <v>0.6166666666666667</v>
      </c>
      <c r="AA36" s="50">
        <v>5.2777777777777778E-2</v>
      </c>
      <c r="AB36" s="44"/>
      <c r="AC36" s="44">
        <v>8</v>
      </c>
      <c r="AD36" s="44" t="s">
        <v>97</v>
      </c>
    </row>
    <row r="37" spans="1:30" s="51" customFormat="1" ht="15.75" customHeight="1" x14ac:dyDescent="0.2">
      <c r="A37" s="44">
        <v>23</v>
      </c>
      <c r="B37" s="44" t="s">
        <v>96</v>
      </c>
      <c r="C37" s="44">
        <v>5</v>
      </c>
      <c r="D37" s="44">
        <v>2</v>
      </c>
      <c r="E37" s="45">
        <v>45317</v>
      </c>
      <c r="F37" s="46">
        <v>0.50972222222222219</v>
      </c>
      <c r="G37" s="40">
        <f t="shared" si="3"/>
        <v>45317.843055555561</v>
      </c>
      <c r="H37" s="44"/>
      <c r="I37" s="44"/>
      <c r="J37" s="45">
        <v>45320</v>
      </c>
      <c r="K37" s="46">
        <v>0.57291666666666663</v>
      </c>
      <c r="L37" s="54">
        <f t="shared" si="4"/>
        <v>45320.90625</v>
      </c>
      <c r="M37" s="44"/>
      <c r="N37" s="44"/>
      <c r="O37" s="44">
        <v>3</v>
      </c>
      <c r="P37" s="44" t="s">
        <v>29</v>
      </c>
      <c r="Q37" s="47">
        <v>300434066482170</v>
      </c>
      <c r="R37" s="47" t="s">
        <v>37</v>
      </c>
      <c r="S37" s="48">
        <v>45318.931122685186</v>
      </c>
      <c r="T37" s="67">
        <v>33.001423000000003</v>
      </c>
      <c r="U37" s="67">
        <v>-117.65347800000001</v>
      </c>
      <c r="V37" s="48">
        <v>45319.878796296296</v>
      </c>
      <c r="W37" s="44">
        <v>33.117448000000003</v>
      </c>
      <c r="X37" s="44">
        <v>-117.6035</v>
      </c>
      <c r="Y37" s="49">
        <f t="shared" si="2"/>
        <v>22.744166666641831</v>
      </c>
      <c r="Z37" s="50">
        <v>0.6166666666666667</v>
      </c>
      <c r="AA37" s="50">
        <v>5.2777777777777778E-2</v>
      </c>
      <c r="AB37" s="44"/>
      <c r="AC37" s="44">
        <v>8</v>
      </c>
      <c r="AD37" s="44" t="s">
        <v>97</v>
      </c>
    </row>
    <row r="38" spans="1:30" s="51" customFormat="1" ht="15.75" customHeight="1" x14ac:dyDescent="0.2">
      <c r="A38" s="44">
        <v>23</v>
      </c>
      <c r="B38" s="44" t="s">
        <v>96</v>
      </c>
      <c r="C38" s="44">
        <v>5</v>
      </c>
      <c r="D38" s="44">
        <v>3</v>
      </c>
      <c r="E38" s="45">
        <v>45317</v>
      </c>
      <c r="F38" s="46">
        <v>0.50972222222222219</v>
      </c>
      <c r="G38" s="40">
        <f t="shared" si="3"/>
        <v>45317.843055555561</v>
      </c>
      <c r="H38" s="44"/>
      <c r="I38" s="44"/>
      <c r="J38" s="45">
        <v>45320</v>
      </c>
      <c r="K38" s="46">
        <v>0.57291666666666663</v>
      </c>
      <c r="L38" s="54">
        <f t="shared" si="4"/>
        <v>45320.90625</v>
      </c>
      <c r="M38" s="44"/>
      <c r="N38" s="44"/>
      <c r="O38" s="44">
        <v>3</v>
      </c>
      <c r="P38" s="44" t="s">
        <v>29</v>
      </c>
      <c r="Q38" s="47">
        <v>300434066482170</v>
      </c>
      <c r="R38" s="47" t="s">
        <v>37</v>
      </c>
      <c r="S38" s="48">
        <v>45319.910034722219</v>
      </c>
      <c r="T38" s="68">
        <v>33.123451000000003</v>
      </c>
      <c r="U38" s="68">
        <v>-117.600043</v>
      </c>
      <c r="V38" s="48">
        <v>45320.89980324074</v>
      </c>
      <c r="W38" s="68">
        <v>33.200189999999999</v>
      </c>
      <c r="X38" s="68">
        <v>-117.597759</v>
      </c>
      <c r="Y38" s="49">
        <f t="shared" ref="Y38" si="5">(V38-S38)*1440/60</f>
        <v>23.754444444493856</v>
      </c>
      <c r="Z38" s="50">
        <v>0.6166666666666667</v>
      </c>
      <c r="AA38" s="50">
        <v>5.2777777777777778E-2</v>
      </c>
      <c r="AB38" s="44"/>
      <c r="AC38" s="44">
        <v>8</v>
      </c>
      <c r="AD38" s="44" t="s">
        <v>97</v>
      </c>
    </row>
    <row r="39" spans="1:30" ht="15.75" customHeight="1" x14ac:dyDescent="0.2">
      <c r="A39" s="20">
        <v>24</v>
      </c>
      <c r="B39" s="20" t="s">
        <v>96</v>
      </c>
      <c r="C39" s="20">
        <v>6</v>
      </c>
      <c r="D39" s="20">
        <v>1</v>
      </c>
      <c r="E39" s="21">
        <v>45317</v>
      </c>
      <c r="F39" s="22">
        <v>0.63472222222222219</v>
      </c>
      <c r="G39" s="10">
        <f t="shared" si="3"/>
        <v>45317.968055555561</v>
      </c>
      <c r="H39" s="20"/>
      <c r="I39" s="20"/>
      <c r="J39" s="21">
        <v>45320</v>
      </c>
      <c r="K39" s="22">
        <v>0.51388888888888895</v>
      </c>
      <c r="L39" s="30">
        <f t="shared" si="4"/>
        <v>45320.847222222226</v>
      </c>
      <c r="M39" s="20"/>
      <c r="N39" s="20"/>
      <c r="O39" s="20">
        <v>4</v>
      </c>
      <c r="P39" s="20" t="s">
        <v>29</v>
      </c>
      <c r="Q39" s="23">
        <v>300434066480130</v>
      </c>
      <c r="R39" s="23" t="s">
        <v>44</v>
      </c>
      <c r="S39" s="28">
        <v>45317.993379629632</v>
      </c>
      <c r="T39" s="69">
        <v>32.907333000000001</v>
      </c>
      <c r="U39" s="69">
        <v>-117.67442</v>
      </c>
      <c r="V39" s="28">
        <v>45318.882280092592</v>
      </c>
      <c r="W39" s="69">
        <v>33.012383</v>
      </c>
      <c r="X39" s="69">
        <v>-117.66186500000001</v>
      </c>
      <c r="Y39" s="25">
        <f t="shared" si="2"/>
        <v>21.333611111040227</v>
      </c>
      <c r="Z39" s="26">
        <v>0.6166666666666667</v>
      </c>
      <c r="AA39" s="26">
        <v>5.2777777777777778E-2</v>
      </c>
      <c r="AB39" s="20"/>
      <c r="AC39" s="20">
        <v>8</v>
      </c>
      <c r="AD39" s="20" t="s">
        <v>98</v>
      </c>
    </row>
    <row r="40" spans="1:30" ht="15.75" customHeight="1" x14ac:dyDescent="0.2">
      <c r="A40" s="20">
        <v>24</v>
      </c>
      <c r="B40" s="20" t="s">
        <v>96</v>
      </c>
      <c r="C40" s="20">
        <v>6</v>
      </c>
      <c r="D40" s="20">
        <v>1</v>
      </c>
      <c r="E40" s="21">
        <v>45317</v>
      </c>
      <c r="F40" s="22">
        <v>0.63472222222222219</v>
      </c>
      <c r="G40" s="10">
        <f t="shared" ref="G40" si="6">$E40+$F40+TIME(AC40,0,0)</f>
        <v>45317.968055555561</v>
      </c>
      <c r="H40" s="20"/>
      <c r="I40" s="20"/>
      <c r="J40" s="21">
        <v>45320</v>
      </c>
      <c r="K40" s="22">
        <v>0.51388888888888895</v>
      </c>
      <c r="L40" s="30">
        <f t="shared" si="4"/>
        <v>45320.847222222226</v>
      </c>
      <c r="M40" s="20"/>
      <c r="N40" s="20"/>
      <c r="O40" s="20">
        <v>4</v>
      </c>
      <c r="P40" s="20" t="s">
        <v>29</v>
      </c>
      <c r="Q40" s="23">
        <v>300434066480130</v>
      </c>
      <c r="R40" s="23" t="s">
        <v>44</v>
      </c>
      <c r="S40" s="28">
        <v>45318.882280092592</v>
      </c>
      <c r="T40" s="69">
        <v>33.012383</v>
      </c>
      <c r="U40" s="69">
        <v>-117.66186500000001</v>
      </c>
      <c r="V40" s="28">
        <v>45320.848263888889</v>
      </c>
      <c r="W40" s="69">
        <v>33.115271</v>
      </c>
      <c r="X40" s="69">
        <v>-117.89773700000001</v>
      </c>
      <c r="Y40" s="25">
        <f t="shared" ref="Y40:Y46" si="7">(V40-S40)*1440/60</f>
        <v>47.183611111133359</v>
      </c>
      <c r="Z40" s="26">
        <v>0.6166666666666667</v>
      </c>
      <c r="AA40" s="26">
        <v>5.2777777777777778E-2</v>
      </c>
      <c r="AB40" s="20"/>
      <c r="AC40" s="20">
        <v>8</v>
      </c>
      <c r="AD40" s="20" t="s">
        <v>98</v>
      </c>
    </row>
    <row r="41" spans="1:30" s="51" customFormat="1" ht="15.75" customHeight="1" x14ac:dyDescent="0.2">
      <c r="A41" s="44">
        <v>25</v>
      </c>
      <c r="B41" s="44" t="s">
        <v>114</v>
      </c>
      <c r="C41" s="44">
        <v>5</v>
      </c>
      <c r="D41" s="44">
        <v>1</v>
      </c>
      <c r="E41" s="45">
        <v>45425</v>
      </c>
      <c r="F41" s="46"/>
      <c r="G41" s="40" t="s">
        <v>123</v>
      </c>
      <c r="H41" s="44"/>
      <c r="I41" s="44"/>
      <c r="J41" s="45"/>
      <c r="K41" s="46"/>
      <c r="L41" s="54" t="s">
        <v>124</v>
      </c>
      <c r="M41" s="44"/>
      <c r="N41" s="44"/>
      <c r="O41" s="44">
        <v>3</v>
      </c>
      <c r="P41" s="44" t="s">
        <v>29</v>
      </c>
      <c r="Q41" s="47">
        <v>300434066482170</v>
      </c>
      <c r="R41" s="47" t="s">
        <v>37</v>
      </c>
      <c r="S41" s="52"/>
      <c r="T41" s="68"/>
      <c r="U41" s="68"/>
      <c r="V41" s="52"/>
      <c r="W41" s="68"/>
      <c r="X41" s="68"/>
      <c r="Y41" s="25">
        <f t="shared" si="7"/>
        <v>0</v>
      </c>
      <c r="Z41" s="50"/>
      <c r="AA41" s="50"/>
      <c r="AB41" s="44"/>
      <c r="AC41" s="44"/>
      <c r="AD41" s="44" t="s">
        <v>135</v>
      </c>
    </row>
    <row r="42" spans="1:30" s="82" customFormat="1" ht="15.75" customHeight="1" x14ac:dyDescent="0.2">
      <c r="A42" s="65">
        <v>26</v>
      </c>
      <c r="B42" s="65" t="s">
        <v>114</v>
      </c>
      <c r="C42" s="65">
        <v>5</v>
      </c>
      <c r="D42" s="65">
        <v>1</v>
      </c>
      <c r="E42" s="75">
        <v>45429</v>
      </c>
      <c r="F42" s="76">
        <v>0.43533564814814812</v>
      </c>
      <c r="G42" s="76" t="s">
        <v>115</v>
      </c>
      <c r="H42" s="65"/>
      <c r="I42" s="65"/>
      <c r="J42" s="75">
        <v>45432</v>
      </c>
      <c r="K42" s="76">
        <v>0.52296296296296296</v>
      </c>
      <c r="L42" s="76" t="s">
        <v>116</v>
      </c>
      <c r="M42" s="65"/>
      <c r="N42" s="65"/>
      <c r="O42" s="65">
        <v>3</v>
      </c>
      <c r="P42" s="65" t="s">
        <v>29</v>
      </c>
      <c r="Q42" s="64">
        <v>300434066482170</v>
      </c>
      <c r="R42" s="64" t="s">
        <v>37</v>
      </c>
      <c r="S42" s="78" t="s">
        <v>118</v>
      </c>
      <c r="T42" s="69">
        <v>32.917650000000002</v>
      </c>
      <c r="U42" s="69">
        <v>-117.794504</v>
      </c>
      <c r="V42" s="78" t="s">
        <v>117</v>
      </c>
      <c r="W42" s="69" t="s">
        <v>119</v>
      </c>
      <c r="X42" s="69" t="s">
        <v>120</v>
      </c>
      <c r="Y42" s="25"/>
      <c r="Z42" s="81">
        <v>0.53263888888888888</v>
      </c>
      <c r="AA42" s="81">
        <v>0.1125</v>
      </c>
      <c r="AB42" s="65"/>
      <c r="AC42" s="65">
        <v>7</v>
      </c>
      <c r="AD42" s="65" t="s">
        <v>136</v>
      </c>
    </row>
    <row r="43" spans="1:30" s="82" customFormat="1" ht="15.75" customHeight="1" x14ac:dyDescent="0.2">
      <c r="A43" s="65">
        <v>26</v>
      </c>
      <c r="B43" s="65" t="s">
        <v>114</v>
      </c>
      <c r="C43" s="65">
        <v>5</v>
      </c>
      <c r="D43" s="65">
        <v>2</v>
      </c>
      <c r="E43" s="75">
        <v>45429</v>
      </c>
      <c r="F43" s="76">
        <v>0.43533564814814812</v>
      </c>
      <c r="G43" s="76" t="s">
        <v>115</v>
      </c>
      <c r="H43" s="65"/>
      <c r="I43" s="65"/>
      <c r="J43" s="75">
        <v>45432</v>
      </c>
      <c r="K43" s="76">
        <v>0.52296296296296296</v>
      </c>
      <c r="L43" s="76" t="s">
        <v>116</v>
      </c>
      <c r="M43" s="65"/>
      <c r="N43" s="65"/>
      <c r="O43" s="65">
        <v>3</v>
      </c>
      <c r="P43" s="65" t="s">
        <v>29</v>
      </c>
      <c r="Q43" s="64">
        <v>300434066482170</v>
      </c>
      <c r="R43" s="64" t="s">
        <v>37</v>
      </c>
      <c r="S43" s="78" t="s">
        <v>121</v>
      </c>
      <c r="T43" s="69">
        <v>32.998700999999997</v>
      </c>
      <c r="U43" s="69">
        <v>-117.874388</v>
      </c>
      <c r="V43" s="78" t="s">
        <v>122</v>
      </c>
      <c r="W43" s="69">
        <v>33.012540000000001</v>
      </c>
      <c r="X43" s="69">
        <v>-117.890097</v>
      </c>
      <c r="Y43" s="25"/>
      <c r="Z43" s="81">
        <v>0.53263888888888888</v>
      </c>
      <c r="AA43" s="81">
        <v>0.1125</v>
      </c>
      <c r="AB43" s="65"/>
      <c r="AC43" s="65">
        <v>7</v>
      </c>
      <c r="AD43" s="65" t="s">
        <v>136</v>
      </c>
    </row>
    <row r="44" spans="1:30" s="51" customFormat="1" ht="15.75" customHeight="1" x14ac:dyDescent="0.2">
      <c r="A44" s="44">
        <v>27</v>
      </c>
      <c r="B44" s="44" t="s">
        <v>138</v>
      </c>
      <c r="C44" s="44">
        <v>5</v>
      </c>
      <c r="D44" s="44">
        <v>1</v>
      </c>
      <c r="E44" s="70">
        <v>45462</v>
      </c>
      <c r="F44" s="71">
        <v>0.625</v>
      </c>
      <c r="G44" s="40">
        <f>$E44+$F44+TIME(AC44,0,0)</f>
        <v>45462.791666666664</v>
      </c>
      <c r="H44">
        <v>38.314742000000003</v>
      </c>
      <c r="I44">
        <v>-63.009855000000002</v>
      </c>
      <c r="J44" s="45">
        <v>45468</v>
      </c>
      <c r="K44" s="46"/>
      <c r="L44" s="54" t="s">
        <v>134</v>
      </c>
      <c r="M44" s="77">
        <v>38.937788333333302</v>
      </c>
      <c r="N44" s="68">
        <v>-64.252854999999997</v>
      </c>
      <c r="O44" s="44">
        <v>3</v>
      </c>
      <c r="P44" s="44" t="s">
        <v>29</v>
      </c>
      <c r="Q44" s="47">
        <v>300434066482170</v>
      </c>
      <c r="R44" s="47" t="s">
        <v>37</v>
      </c>
      <c r="S44" s="52">
        <v>45462.860289351855</v>
      </c>
      <c r="T44" s="68">
        <v>38.313133999999998</v>
      </c>
      <c r="U44" s="68">
        <v>-63.006925000000003</v>
      </c>
      <c r="V44" s="78">
        <v>45465.117199074077</v>
      </c>
      <c r="W44" s="44"/>
      <c r="X44" s="44"/>
      <c r="Y44" s="25"/>
      <c r="Z44" s="50"/>
      <c r="AA44" s="50"/>
      <c r="AB44" s="44"/>
      <c r="AC44" s="44">
        <v>4</v>
      </c>
      <c r="AD44" s="44" t="s">
        <v>137</v>
      </c>
    </row>
    <row r="45" spans="1:30" s="82" customFormat="1" ht="15.75" customHeight="1" x14ac:dyDescent="0.2">
      <c r="A45" s="65">
        <v>28</v>
      </c>
      <c r="B45" s="65" t="s">
        <v>138</v>
      </c>
      <c r="C45" s="65">
        <v>6</v>
      </c>
      <c r="D45" s="65">
        <v>1</v>
      </c>
      <c r="E45" s="73">
        <v>45462</v>
      </c>
      <c r="F45" s="74">
        <v>0.625</v>
      </c>
      <c r="G45" s="62">
        <f t="shared" ref="G45" si="8">$E45+$F45+TIME(AC45,0,0)</f>
        <v>45462.791666666664</v>
      </c>
      <c r="H45">
        <v>38.315010000000001</v>
      </c>
      <c r="I45">
        <v>-63.010885000000002</v>
      </c>
      <c r="J45" s="75">
        <v>45466</v>
      </c>
      <c r="K45" s="76">
        <v>0.875</v>
      </c>
      <c r="L45" s="63">
        <f t="shared" ref="L45:L46" si="9">$J45+$K45 +TIME($AC45,0,0)</f>
        <v>45467.041666666664</v>
      </c>
      <c r="M45" s="82">
        <v>39.013003333333302</v>
      </c>
      <c r="N45" s="77">
        <v>-63.364616666666699</v>
      </c>
      <c r="O45" s="65">
        <v>4</v>
      </c>
      <c r="P45" s="65" t="s">
        <v>29</v>
      </c>
      <c r="Q45" s="64">
        <v>300434066480130</v>
      </c>
      <c r="R45" s="64" t="s">
        <v>44</v>
      </c>
      <c r="S45" s="78">
        <v>45462.855231481481</v>
      </c>
      <c r="T45" s="89">
        <v>38.307771000000002</v>
      </c>
      <c r="U45" s="89">
        <v>-62.998032000000002</v>
      </c>
      <c r="V45" s="78">
        <v>45465.11142361111</v>
      </c>
      <c r="W45" s="89">
        <v>38.406742000000001</v>
      </c>
      <c r="X45" s="89">
        <v>-62.544604</v>
      </c>
      <c r="Y45" s="25">
        <f t="shared" si="7"/>
        <v>54.148611111100763</v>
      </c>
      <c r="Z45" s="81"/>
      <c r="AA45" s="81"/>
      <c r="AB45" s="65"/>
      <c r="AC45" s="65">
        <v>4</v>
      </c>
      <c r="AD45" s="65"/>
    </row>
    <row r="46" spans="1:30" s="82" customFormat="1" ht="15.75" customHeight="1" x14ac:dyDescent="0.2">
      <c r="A46" s="65">
        <v>28</v>
      </c>
      <c r="B46" s="65" t="s">
        <v>138</v>
      </c>
      <c r="C46" s="65">
        <v>6</v>
      </c>
      <c r="D46" s="65">
        <v>2</v>
      </c>
      <c r="E46" s="73">
        <v>45462</v>
      </c>
      <c r="F46" s="74">
        <v>0.625</v>
      </c>
      <c r="G46" s="62">
        <f t="shared" ref="G46" si="10">$E46+$F46+TIME(AC46,0,0)</f>
        <v>45462.791666666664</v>
      </c>
      <c r="H46">
        <v>38.315010000000001</v>
      </c>
      <c r="I46">
        <v>-63.010885000000002</v>
      </c>
      <c r="J46" s="75">
        <v>45466</v>
      </c>
      <c r="K46" s="76">
        <v>0.875</v>
      </c>
      <c r="L46" s="63">
        <f t="shared" si="9"/>
        <v>45467.041666666664</v>
      </c>
      <c r="M46" s="82">
        <v>39.013003333333302</v>
      </c>
      <c r="N46" s="77">
        <v>-63.364616666666699</v>
      </c>
      <c r="O46" s="65">
        <v>4</v>
      </c>
      <c r="P46" s="65" t="s">
        <v>29</v>
      </c>
      <c r="Q46" s="64">
        <v>300434066480130</v>
      </c>
      <c r="R46" s="64" t="s">
        <v>44</v>
      </c>
      <c r="S46" s="78">
        <v>45465.271736111114</v>
      </c>
      <c r="T46" s="89">
        <v>38.415380999999996</v>
      </c>
      <c r="U46" s="89">
        <v>-62.463433000000002</v>
      </c>
      <c r="V46" s="28">
        <v>45466.125555555554</v>
      </c>
      <c r="W46" s="89">
        <v>38.532255999999997</v>
      </c>
      <c r="X46" s="89">
        <v>-62.362059000000002</v>
      </c>
      <c r="Y46" s="25">
        <f t="shared" si="7"/>
        <v>20.491666666581295</v>
      </c>
      <c r="Z46" s="81"/>
      <c r="AA46" s="81"/>
      <c r="AB46" s="65"/>
      <c r="AC46" s="65">
        <v>4</v>
      </c>
      <c r="AD46" s="65" t="s">
        <v>131</v>
      </c>
    </row>
    <row r="47" spans="1:30" s="51" customFormat="1" ht="15.75" customHeight="1" x14ac:dyDescent="0.2">
      <c r="A47" s="44">
        <v>29</v>
      </c>
      <c r="B47" s="44" t="s">
        <v>138</v>
      </c>
      <c r="C47" s="44">
        <v>4</v>
      </c>
      <c r="D47" s="44">
        <v>1</v>
      </c>
      <c r="E47" s="70">
        <v>45462</v>
      </c>
      <c r="F47" s="71">
        <v>0.625</v>
      </c>
      <c r="G47" s="40">
        <f>$E47+$F47+TIME(AC47,0,0)</f>
        <v>45462.791666666664</v>
      </c>
      <c r="H47" s="44">
        <v>38.316051999999999</v>
      </c>
      <c r="I47" s="44">
        <v>-63.012607000000003</v>
      </c>
      <c r="J47" s="45">
        <v>45464</v>
      </c>
      <c r="K47" s="46">
        <v>0.125</v>
      </c>
      <c r="L47" s="54">
        <f t="shared" ref="L47" si="11">$J47+$K47 +TIME($AC47,0,0)</f>
        <v>45464.291666666664</v>
      </c>
      <c r="M47" s="68">
        <v>38.309516000000002</v>
      </c>
      <c r="N47" s="68">
        <v>-62.619463000000003</v>
      </c>
      <c r="O47" s="44">
        <v>1</v>
      </c>
      <c r="P47" s="44" t="s">
        <v>23</v>
      </c>
      <c r="Q47" s="72">
        <v>300434066489180</v>
      </c>
      <c r="R47" s="47" t="s">
        <v>43</v>
      </c>
      <c r="S47" s="52">
        <v>45462.84778935185</v>
      </c>
      <c r="T47" s="68">
        <v>38.315800000000003</v>
      </c>
      <c r="U47" s="68">
        <v>-63.012493999999997</v>
      </c>
      <c r="V47" s="52">
        <v>45463.528101851851</v>
      </c>
      <c r="W47" s="68">
        <v>38.311391</v>
      </c>
      <c r="X47" s="68">
        <v>-62.918548000000001</v>
      </c>
      <c r="Y47" s="49">
        <f>(V47-S47)*1440/60</f>
        <v>16.32750000001397</v>
      </c>
      <c r="Z47" s="50"/>
      <c r="AA47" s="50"/>
      <c r="AB47" s="44"/>
      <c r="AC47" s="44">
        <v>4</v>
      </c>
      <c r="AD47" s="44" t="s">
        <v>132</v>
      </c>
    </row>
    <row r="48" spans="1:30" s="82" customFormat="1" ht="15.75" customHeight="1" x14ac:dyDescent="0.2">
      <c r="A48" s="65"/>
      <c r="B48" s="65"/>
      <c r="C48" s="65"/>
      <c r="D48" s="65"/>
      <c r="E48" s="83"/>
      <c r="F48" s="84"/>
      <c r="G48" s="84"/>
      <c r="H48" s="78"/>
      <c r="I48" s="84"/>
      <c r="J48" s="85"/>
      <c r="K48" s="76"/>
      <c r="L48" s="76"/>
      <c r="M48" s="65"/>
      <c r="N48" s="65"/>
      <c r="O48" s="65"/>
      <c r="P48" s="65"/>
      <c r="Q48" s="64"/>
      <c r="R48" s="64"/>
      <c r="S48" s="79"/>
      <c r="T48" s="65"/>
      <c r="U48" s="65"/>
      <c r="W48" s="65"/>
      <c r="X48" s="65"/>
      <c r="Y48" s="80"/>
      <c r="Z48" s="81"/>
      <c r="AA48" s="81"/>
      <c r="AB48" s="65"/>
      <c r="AC48" s="65"/>
      <c r="AD48" s="65"/>
    </row>
    <row r="49" spans="1:30" ht="15.75" customHeight="1" x14ac:dyDescent="0.2">
      <c r="A49" s="20"/>
      <c r="B49" s="20"/>
      <c r="C49" s="20"/>
      <c r="D49" s="20"/>
      <c r="E49" s="24"/>
      <c r="F49" s="66"/>
      <c r="G49" s="66"/>
      <c r="H49" s="24"/>
      <c r="I49" s="61"/>
      <c r="J49" s="20"/>
      <c r="K49" s="22"/>
      <c r="L49" s="22"/>
      <c r="M49" s="20"/>
      <c r="N49" s="20"/>
      <c r="O49" s="20"/>
      <c r="P49" s="20"/>
      <c r="Q49" s="23"/>
      <c r="R49" s="23"/>
      <c r="S49" s="24"/>
      <c r="T49" s="20"/>
      <c r="U49" s="20"/>
      <c r="V49" s="24"/>
      <c r="W49" s="20"/>
      <c r="X49" s="20"/>
      <c r="Y49" s="25"/>
      <c r="Z49" s="26"/>
      <c r="AA49" s="26"/>
      <c r="AB49" s="20"/>
      <c r="AC49" s="20"/>
      <c r="AD49" s="20"/>
    </row>
    <row r="50" spans="1:30" ht="15.75" customHeight="1" x14ac:dyDescent="0.2">
      <c r="A50" s="20"/>
      <c r="B50" s="20"/>
      <c r="C50" s="20"/>
      <c r="D50" s="20"/>
      <c r="E50" s="21"/>
      <c r="F50" s="22"/>
      <c r="G50" s="22"/>
      <c r="H50" s="20"/>
      <c r="I50" s="20"/>
      <c r="J50" s="21"/>
      <c r="K50" s="22"/>
      <c r="L50" s="22"/>
      <c r="M50" s="20"/>
      <c r="N50" s="20"/>
      <c r="O50" s="20"/>
      <c r="P50" s="20"/>
      <c r="Q50" s="23"/>
      <c r="R50" s="23"/>
      <c r="S50" s="24"/>
      <c r="T50" s="20"/>
      <c r="U50" s="20"/>
      <c r="V50" s="24"/>
      <c r="W50" s="20"/>
      <c r="X50" s="20"/>
      <c r="Y50" s="25"/>
      <c r="Z50" s="26"/>
      <c r="AA50" s="26"/>
      <c r="AB50" s="20"/>
      <c r="AC50" s="20"/>
      <c r="AD50" s="20"/>
    </row>
    <row r="51" spans="1:30" ht="15.75" customHeight="1" x14ac:dyDescent="0.2">
      <c r="A51" s="20"/>
      <c r="B51" s="20"/>
      <c r="C51" s="20"/>
      <c r="D51" s="20"/>
      <c r="E51" s="21"/>
      <c r="F51" s="22"/>
      <c r="G51" s="22"/>
      <c r="H51" s="20"/>
      <c r="I51" s="20"/>
      <c r="J51" s="21"/>
      <c r="K51" s="22"/>
      <c r="L51" s="22"/>
      <c r="M51" s="20"/>
      <c r="N51" s="20"/>
      <c r="O51" s="20"/>
      <c r="P51" s="20"/>
      <c r="Q51" s="23"/>
      <c r="R51" s="23"/>
      <c r="S51" s="24"/>
      <c r="T51" s="20"/>
      <c r="U51" s="20"/>
      <c r="V51" s="24"/>
      <c r="W51" s="20"/>
      <c r="X51" s="20"/>
      <c r="Y51" s="25"/>
      <c r="Z51" s="26"/>
      <c r="AA51" s="26"/>
      <c r="AB51" s="20"/>
      <c r="AC51" s="20"/>
      <c r="AD51" s="20"/>
    </row>
    <row r="52" spans="1:30" ht="15.75" customHeight="1" x14ac:dyDescent="0.2">
      <c r="A52" s="20"/>
      <c r="B52" s="20"/>
      <c r="C52" s="20"/>
      <c r="D52" s="20"/>
      <c r="E52" s="21"/>
      <c r="F52" s="22"/>
      <c r="G52" s="22"/>
      <c r="H52" s="20"/>
      <c r="I52" s="20"/>
      <c r="J52" s="21"/>
      <c r="K52" s="22"/>
      <c r="L52" s="22"/>
      <c r="M52" s="20"/>
      <c r="N52" s="20"/>
      <c r="O52" s="20"/>
      <c r="P52" s="20"/>
      <c r="Q52" s="23"/>
      <c r="R52" s="23"/>
      <c r="S52" s="24"/>
      <c r="T52" s="20"/>
      <c r="U52" s="20"/>
      <c r="V52" s="24"/>
      <c r="W52" s="20"/>
      <c r="X52" s="20"/>
      <c r="Y52" s="25"/>
      <c r="Z52" s="26"/>
      <c r="AA52" s="26"/>
      <c r="AB52" s="20"/>
      <c r="AC52" s="20"/>
      <c r="AD52" s="20"/>
    </row>
    <row r="53" spans="1:30" ht="15.75" customHeight="1" x14ac:dyDescent="0.2">
      <c r="A53" s="20"/>
      <c r="B53" s="20"/>
      <c r="C53" s="20"/>
      <c r="D53" s="20"/>
      <c r="E53" s="21"/>
      <c r="F53" s="22"/>
      <c r="G53" s="22"/>
      <c r="H53" s="20"/>
      <c r="I53" s="20"/>
      <c r="J53" s="21"/>
      <c r="K53" s="22"/>
      <c r="L53" s="22"/>
      <c r="M53" s="20"/>
      <c r="N53" s="20"/>
      <c r="O53" s="20"/>
      <c r="P53" s="20"/>
      <c r="Q53" s="23"/>
      <c r="R53" s="23"/>
      <c r="S53" s="24"/>
      <c r="T53" s="20"/>
      <c r="U53" s="20"/>
      <c r="V53" s="24"/>
      <c r="W53" s="20"/>
      <c r="X53" s="20"/>
      <c r="Y53" s="25"/>
      <c r="Z53" s="26"/>
      <c r="AA53" s="26"/>
      <c r="AB53" s="20"/>
      <c r="AC53" s="20"/>
      <c r="AD53" s="20"/>
    </row>
    <row r="54" spans="1:30" ht="15.75" customHeight="1" x14ac:dyDescent="0.2">
      <c r="A54" s="20"/>
      <c r="B54" s="20"/>
      <c r="C54" s="20"/>
      <c r="D54" s="20"/>
      <c r="E54" s="21"/>
      <c r="F54" s="22"/>
      <c r="G54" s="22"/>
      <c r="H54" s="20"/>
      <c r="I54" s="20"/>
      <c r="J54" s="21"/>
      <c r="K54" s="22"/>
      <c r="L54" s="22"/>
      <c r="M54" s="20"/>
      <c r="N54" s="20"/>
      <c r="O54" s="20"/>
      <c r="P54" s="20"/>
      <c r="Q54" s="23"/>
      <c r="R54" s="23"/>
      <c r="S54" s="24"/>
      <c r="T54" s="20"/>
      <c r="U54" s="20"/>
      <c r="V54" s="24"/>
      <c r="W54" s="20"/>
      <c r="X54" s="20"/>
      <c r="Y54" s="25"/>
      <c r="Z54" s="26"/>
      <c r="AA54" s="26"/>
      <c r="AB54" s="20"/>
      <c r="AC54" s="20"/>
      <c r="AD54" s="20"/>
    </row>
    <row r="55" spans="1:30" ht="15.75" customHeight="1" x14ac:dyDescent="0.2">
      <c r="A55" s="20"/>
      <c r="B55" s="20"/>
      <c r="C55" s="20"/>
      <c r="D55" s="20"/>
      <c r="E55" s="21"/>
      <c r="F55" s="22"/>
      <c r="G55" s="22"/>
      <c r="H55" s="20"/>
      <c r="I55" s="20"/>
      <c r="J55" s="21"/>
      <c r="K55" s="22"/>
      <c r="L55" s="22"/>
      <c r="M55" s="20"/>
      <c r="N55" s="20"/>
      <c r="O55" s="20"/>
      <c r="P55" s="20"/>
      <c r="Q55" s="23"/>
      <c r="R55" s="23"/>
      <c r="S55" s="24"/>
      <c r="T55" s="20"/>
      <c r="U55" s="20"/>
      <c r="V55" s="24"/>
      <c r="W55" s="20"/>
      <c r="X55" s="20"/>
      <c r="Y55" s="25"/>
      <c r="Z55" s="26"/>
      <c r="AA55" s="26"/>
      <c r="AB55" s="20"/>
      <c r="AC55" s="20"/>
      <c r="AD55" s="20"/>
    </row>
    <row r="56" spans="1:30" ht="15.75" customHeight="1" x14ac:dyDescent="0.2">
      <c r="A56" s="20"/>
      <c r="B56" s="20"/>
      <c r="C56" s="20"/>
      <c r="D56" s="20"/>
      <c r="E56" s="21"/>
      <c r="F56" s="22"/>
      <c r="G56" s="22"/>
      <c r="H56" s="20"/>
      <c r="I56" s="20"/>
      <c r="J56" s="21"/>
      <c r="K56" s="22"/>
      <c r="L56" s="22"/>
      <c r="M56" s="20"/>
      <c r="N56" s="20"/>
      <c r="O56" s="20"/>
      <c r="P56" s="20"/>
      <c r="Q56" s="23"/>
      <c r="R56" s="23"/>
      <c r="S56" s="24"/>
      <c r="T56" s="20"/>
      <c r="U56" s="20"/>
      <c r="V56" s="24"/>
      <c r="W56" s="20"/>
      <c r="X56" s="20"/>
      <c r="Y56" s="25"/>
      <c r="Z56" s="26"/>
      <c r="AA56" s="26"/>
      <c r="AB56" s="20"/>
      <c r="AC56" s="20"/>
      <c r="AD56" s="20"/>
    </row>
    <row r="57" spans="1:30" ht="15.75" customHeight="1" x14ac:dyDescent="0.2">
      <c r="A57" s="20"/>
      <c r="B57" s="20"/>
      <c r="C57" s="20"/>
      <c r="D57" s="20"/>
      <c r="E57" s="21"/>
      <c r="F57" s="22"/>
      <c r="G57" s="22"/>
      <c r="H57" s="20"/>
      <c r="I57" s="20"/>
      <c r="J57" s="21"/>
      <c r="K57" s="22"/>
      <c r="L57" s="22"/>
      <c r="M57" s="20"/>
      <c r="N57" s="20"/>
      <c r="O57" s="20"/>
      <c r="P57" s="20"/>
      <c r="Q57" s="23"/>
      <c r="R57" s="23"/>
      <c r="S57" s="24"/>
      <c r="T57" s="20"/>
      <c r="U57" s="20"/>
      <c r="V57" s="24"/>
      <c r="W57" s="20"/>
      <c r="X57" s="20"/>
      <c r="Y57" s="25"/>
      <c r="Z57" s="26"/>
      <c r="AA57" s="26"/>
      <c r="AB57" s="20"/>
      <c r="AC57" s="20"/>
      <c r="AD57" s="20"/>
    </row>
    <row r="58" spans="1:30" ht="15.75" customHeight="1" x14ac:dyDescent="0.2">
      <c r="A58" s="20"/>
      <c r="B58" s="20"/>
      <c r="C58" s="20"/>
      <c r="D58" s="20"/>
      <c r="E58" s="21"/>
      <c r="F58" s="22"/>
      <c r="G58" s="22"/>
      <c r="H58" s="20"/>
      <c r="I58" s="20"/>
      <c r="J58" s="21"/>
      <c r="K58" s="22"/>
      <c r="L58" s="22"/>
      <c r="M58" s="20"/>
      <c r="N58" s="20"/>
      <c r="O58" s="20"/>
      <c r="P58" s="20"/>
      <c r="Q58" s="23"/>
      <c r="R58" s="23"/>
      <c r="S58" s="24"/>
      <c r="T58" s="20"/>
      <c r="U58" s="20"/>
      <c r="V58" s="24"/>
      <c r="W58" s="20"/>
      <c r="X58" s="20"/>
      <c r="Y58" s="25"/>
      <c r="Z58" s="26"/>
      <c r="AA58" s="26"/>
      <c r="AB58" s="20"/>
      <c r="AC58" s="20"/>
      <c r="AD58" s="20"/>
    </row>
    <row r="59" spans="1:30"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6"/>
      <c r="AA59" s="26"/>
      <c r="AB59" s="20"/>
      <c r="AC59" s="20"/>
      <c r="AD59" s="20"/>
    </row>
    <row r="60" spans="1:30"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6"/>
      <c r="AA60" s="26"/>
      <c r="AB60" s="20"/>
      <c r="AC60" s="20"/>
      <c r="AD60" s="20"/>
    </row>
    <row r="61" spans="1:30"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6"/>
      <c r="AA61" s="26"/>
      <c r="AB61" s="20"/>
      <c r="AC61" s="20"/>
      <c r="AD61" s="20"/>
    </row>
    <row r="62" spans="1:30"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6"/>
      <c r="AA62" s="26"/>
      <c r="AB62" s="20"/>
      <c r="AC62" s="20"/>
      <c r="AD62" s="20"/>
    </row>
    <row r="63" spans="1:30"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6"/>
      <c r="AA63" s="26"/>
      <c r="AB63" s="20"/>
      <c r="AC63" s="20"/>
      <c r="AD63" s="20"/>
    </row>
    <row r="64" spans="1:30"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6"/>
      <c r="AA64" s="26"/>
      <c r="AB64" s="20"/>
      <c r="AC64" s="20"/>
      <c r="AD64" s="20"/>
    </row>
    <row r="65" spans="1:30"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6"/>
      <c r="AA65" s="26"/>
      <c r="AB65" s="20"/>
      <c r="AC65" s="20"/>
      <c r="AD65" s="20"/>
    </row>
    <row r="66" spans="1:30"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6"/>
      <c r="AA66" s="26"/>
      <c r="AB66" s="20"/>
      <c r="AC66" s="20"/>
      <c r="AD66" s="20"/>
    </row>
    <row r="67" spans="1:30"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6"/>
      <c r="AA67" s="26"/>
      <c r="AB67" s="20"/>
      <c r="AC67" s="20"/>
      <c r="AD67" s="20"/>
    </row>
    <row r="68" spans="1:30"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6"/>
      <c r="AA68" s="26"/>
      <c r="AB68" s="20"/>
      <c r="AC68" s="20"/>
      <c r="AD68" s="20"/>
    </row>
    <row r="69" spans="1:30"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6"/>
      <c r="AA69" s="26"/>
      <c r="AB69" s="20"/>
      <c r="AC69" s="20"/>
      <c r="AD69" s="20"/>
    </row>
    <row r="70" spans="1:30"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6"/>
      <c r="AA70" s="26"/>
      <c r="AB70" s="20"/>
      <c r="AC70" s="20"/>
      <c r="AD70" s="20"/>
    </row>
    <row r="71" spans="1:30"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6"/>
      <c r="AA71" s="26"/>
      <c r="AB71" s="20"/>
      <c r="AC71" s="20"/>
      <c r="AD71" s="20"/>
    </row>
    <row r="72" spans="1:30"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6"/>
      <c r="AA72" s="26"/>
      <c r="AB72" s="20"/>
      <c r="AC72" s="20"/>
      <c r="AD72" s="20"/>
    </row>
    <row r="73" spans="1:30"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6"/>
      <c r="AA73" s="26"/>
      <c r="AB73" s="20"/>
      <c r="AC73" s="20"/>
      <c r="AD73" s="20"/>
    </row>
    <row r="74" spans="1:30"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6"/>
      <c r="AA74" s="26"/>
      <c r="AB74" s="20"/>
      <c r="AC74" s="20"/>
      <c r="AD74" s="20"/>
    </row>
    <row r="75" spans="1:30"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6"/>
      <c r="AA75" s="26"/>
      <c r="AB75" s="20"/>
      <c r="AC75" s="20"/>
      <c r="AD75" s="20"/>
    </row>
    <row r="76" spans="1:30"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6"/>
      <c r="AA76" s="26"/>
      <c r="AB76" s="20"/>
      <c r="AC76" s="20"/>
      <c r="AD76" s="20"/>
    </row>
    <row r="77" spans="1:30"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6"/>
      <c r="AA77" s="26"/>
      <c r="AB77" s="20"/>
      <c r="AC77" s="20"/>
      <c r="AD77" s="20"/>
    </row>
    <row r="78" spans="1:30"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6"/>
      <c r="AA78" s="26"/>
      <c r="AB78" s="20"/>
      <c r="AC78" s="20"/>
      <c r="AD78" s="20"/>
    </row>
    <row r="79" spans="1:30"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6"/>
      <c r="AA79" s="26"/>
      <c r="AB79" s="20"/>
      <c r="AC79" s="20"/>
      <c r="AD79" s="20"/>
    </row>
    <row r="80" spans="1:30"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6"/>
      <c r="AA80" s="26"/>
      <c r="AB80" s="20"/>
      <c r="AC80" s="20"/>
      <c r="AD80" s="20"/>
    </row>
    <row r="81" spans="1:30"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6"/>
      <c r="AA81" s="26"/>
      <c r="AB81" s="20"/>
      <c r="AC81" s="20"/>
      <c r="AD81" s="20"/>
    </row>
    <row r="82" spans="1:30"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6"/>
      <c r="AA82" s="26"/>
      <c r="AB82" s="20"/>
      <c r="AC82" s="20"/>
      <c r="AD82" s="20"/>
    </row>
    <row r="83" spans="1:30"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6"/>
      <c r="AA83" s="26"/>
      <c r="AB83" s="20"/>
      <c r="AC83" s="20"/>
      <c r="AD83" s="20"/>
    </row>
    <row r="84" spans="1:30"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6"/>
      <c r="AA84" s="26"/>
      <c r="AB84" s="20"/>
      <c r="AC84" s="20"/>
      <c r="AD84" s="20"/>
    </row>
    <row r="85" spans="1:30"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6"/>
      <c r="AA85" s="26"/>
      <c r="AB85" s="20"/>
      <c r="AC85" s="20"/>
      <c r="AD85" s="20"/>
    </row>
    <row r="86" spans="1:30"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6"/>
      <c r="AA86" s="26"/>
      <c r="AB86" s="20"/>
      <c r="AC86" s="20"/>
      <c r="AD86" s="20"/>
    </row>
    <row r="87" spans="1:30"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6"/>
      <c r="AA87" s="26"/>
      <c r="AB87" s="20"/>
      <c r="AC87" s="20"/>
      <c r="AD87" s="20"/>
    </row>
    <row r="88" spans="1:30"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6"/>
      <c r="AA88" s="26"/>
      <c r="AB88" s="20"/>
      <c r="AC88" s="20"/>
      <c r="AD88" s="20"/>
    </row>
    <row r="89" spans="1:30"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6"/>
      <c r="AA89" s="26"/>
      <c r="AB89" s="20"/>
      <c r="AC89" s="20"/>
      <c r="AD89" s="20"/>
    </row>
    <row r="90" spans="1:30"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6"/>
      <c r="AA90" s="26"/>
      <c r="AB90" s="20"/>
      <c r="AC90" s="20"/>
      <c r="AD90" s="20"/>
    </row>
    <row r="91" spans="1:30"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6"/>
      <c r="AA91" s="26"/>
      <c r="AB91" s="20"/>
      <c r="AC91" s="20"/>
      <c r="AD91" s="20"/>
    </row>
    <row r="92" spans="1:30"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6"/>
      <c r="AA92" s="26"/>
      <c r="AB92" s="20"/>
      <c r="AC92" s="20"/>
      <c r="AD92" s="20"/>
    </row>
    <row r="93" spans="1:30"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6"/>
      <c r="AA93" s="26"/>
      <c r="AB93" s="20"/>
      <c r="AC93" s="20"/>
      <c r="AD93" s="20"/>
    </row>
    <row r="94" spans="1:30"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6"/>
      <c r="AA94" s="26"/>
      <c r="AB94" s="20"/>
      <c r="AC94" s="20"/>
      <c r="AD94" s="20"/>
    </row>
    <row r="95" spans="1:30"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6"/>
      <c r="AA95" s="26"/>
      <c r="AB95" s="20"/>
      <c r="AC95" s="20"/>
      <c r="AD95" s="20"/>
    </row>
    <row r="96" spans="1:30"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6"/>
      <c r="AA96" s="26"/>
      <c r="AB96" s="20"/>
      <c r="AC96" s="20"/>
      <c r="AD96" s="20"/>
    </row>
    <row r="97" spans="1:30"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6"/>
      <c r="AA97" s="26"/>
      <c r="AB97" s="20"/>
      <c r="AC97" s="20"/>
      <c r="AD97" s="20"/>
    </row>
    <row r="98" spans="1:30"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6"/>
      <c r="AA98" s="26"/>
      <c r="AB98" s="20"/>
      <c r="AC98" s="20"/>
      <c r="AD98" s="20"/>
    </row>
    <row r="99" spans="1:30"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6"/>
      <c r="AA99" s="26"/>
      <c r="AB99" s="20"/>
      <c r="AC99" s="20"/>
      <c r="AD99" s="20"/>
    </row>
    <row r="100" spans="1:30"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6"/>
      <c r="AA100" s="26"/>
      <c r="AB100" s="20"/>
      <c r="AC100" s="20"/>
      <c r="AD100" s="20"/>
    </row>
    <row r="101" spans="1:30"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6"/>
      <c r="AA101" s="26"/>
      <c r="AB101" s="20"/>
      <c r="AC101" s="20"/>
      <c r="AD101" s="20"/>
    </row>
    <row r="102" spans="1:30"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6"/>
      <c r="AA102" s="26"/>
      <c r="AB102" s="20"/>
      <c r="AC102" s="20"/>
      <c r="AD102" s="20"/>
    </row>
    <row r="103" spans="1:30"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6"/>
      <c r="AA103" s="26"/>
      <c r="AB103" s="20"/>
      <c r="AC103" s="20"/>
      <c r="AD103" s="20"/>
    </row>
    <row r="104" spans="1:30"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6"/>
      <c r="AA104" s="26"/>
      <c r="AB104" s="20"/>
      <c r="AC104" s="20"/>
      <c r="AD104" s="20"/>
    </row>
    <row r="105" spans="1:30"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6"/>
      <c r="AA105" s="26"/>
      <c r="AB105" s="20"/>
      <c r="AC105" s="20"/>
      <c r="AD105" s="20"/>
    </row>
    <row r="106" spans="1:30"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6"/>
      <c r="AA106" s="26"/>
      <c r="AB106" s="20"/>
      <c r="AC106" s="20"/>
      <c r="AD106" s="20"/>
    </row>
    <row r="107" spans="1:30"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6"/>
      <c r="AA107" s="26"/>
      <c r="AB107" s="20"/>
      <c r="AC107" s="20"/>
      <c r="AD107" s="20"/>
    </row>
    <row r="108" spans="1:30"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6"/>
      <c r="AA108" s="26"/>
      <c r="AB108" s="20"/>
      <c r="AC108" s="20"/>
      <c r="AD108" s="20"/>
    </row>
    <row r="109" spans="1:30"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6"/>
      <c r="AA109" s="26"/>
      <c r="AB109" s="20"/>
      <c r="AC109" s="20"/>
      <c r="AD109" s="20"/>
    </row>
    <row r="110" spans="1:30"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6"/>
      <c r="AA110" s="26"/>
      <c r="AB110" s="20"/>
      <c r="AC110" s="20"/>
      <c r="AD110" s="20"/>
    </row>
    <row r="111" spans="1:30"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6"/>
      <c r="AA111" s="26"/>
      <c r="AB111" s="20"/>
      <c r="AC111" s="20"/>
      <c r="AD111" s="20"/>
    </row>
    <row r="112" spans="1:30"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6"/>
      <c r="AA112" s="26"/>
      <c r="AB112" s="20"/>
      <c r="AC112" s="20"/>
      <c r="AD112" s="20"/>
    </row>
    <row r="113" spans="1:30"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6"/>
      <c r="AA113" s="26"/>
      <c r="AB113" s="20"/>
      <c r="AC113" s="20"/>
      <c r="AD113" s="20"/>
    </row>
    <row r="114" spans="1:30"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6"/>
      <c r="AA114" s="26"/>
      <c r="AB114" s="20"/>
      <c r="AC114" s="20"/>
      <c r="AD114" s="20"/>
    </row>
    <row r="115" spans="1:30"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6"/>
      <c r="AA115" s="26"/>
      <c r="AB115" s="20"/>
      <c r="AC115" s="20"/>
      <c r="AD115" s="20"/>
    </row>
    <row r="116" spans="1:30"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6"/>
      <c r="AA116" s="26"/>
      <c r="AB116" s="20"/>
      <c r="AC116" s="20"/>
      <c r="AD116" s="20"/>
    </row>
    <row r="117" spans="1:30"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6"/>
      <c r="AA117" s="26"/>
      <c r="AB117" s="20"/>
      <c r="AC117" s="20"/>
      <c r="AD117" s="20"/>
    </row>
    <row r="118" spans="1:30"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6"/>
      <c r="AA118" s="26"/>
      <c r="AB118" s="20"/>
      <c r="AC118" s="20"/>
      <c r="AD118" s="20"/>
    </row>
    <row r="119" spans="1:30"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6"/>
      <c r="AA119" s="26"/>
      <c r="AB119" s="20"/>
      <c r="AC119" s="20"/>
      <c r="AD119" s="20"/>
    </row>
    <row r="120" spans="1:30"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6"/>
      <c r="AA120" s="26"/>
      <c r="AB120" s="20"/>
      <c r="AC120" s="20"/>
      <c r="AD120" s="20"/>
    </row>
    <row r="121" spans="1:30"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6"/>
      <c r="AA121" s="26"/>
      <c r="AB121" s="20"/>
      <c r="AC121" s="20"/>
      <c r="AD121" s="20"/>
    </row>
    <row r="122" spans="1:30"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6"/>
      <c r="AA122" s="26"/>
      <c r="AB122" s="20"/>
      <c r="AC122" s="20"/>
      <c r="AD122" s="20"/>
    </row>
    <row r="123" spans="1:30"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6"/>
      <c r="AA123" s="26"/>
      <c r="AB123" s="20"/>
      <c r="AC123" s="20"/>
      <c r="AD123" s="20"/>
    </row>
    <row r="124" spans="1:30"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6"/>
      <c r="AA124" s="26"/>
      <c r="AB124" s="20"/>
      <c r="AC124" s="20"/>
      <c r="AD124" s="20"/>
    </row>
    <row r="125" spans="1:30"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6"/>
      <c r="AA125" s="26"/>
      <c r="AB125" s="20"/>
      <c r="AC125" s="20"/>
      <c r="AD125" s="20"/>
    </row>
    <row r="126" spans="1:30"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6"/>
      <c r="AA126" s="26"/>
      <c r="AB126" s="20"/>
      <c r="AC126" s="20"/>
      <c r="AD126" s="20"/>
    </row>
    <row r="127" spans="1:30"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6"/>
      <c r="AA127" s="26"/>
      <c r="AB127" s="20"/>
      <c r="AC127" s="20"/>
      <c r="AD127" s="20"/>
    </row>
    <row r="128" spans="1:30"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6"/>
      <c r="AA128" s="26"/>
      <c r="AB128" s="20"/>
      <c r="AC128" s="20"/>
      <c r="AD128" s="20"/>
    </row>
    <row r="129" spans="1:30"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6"/>
      <c r="AA129" s="26"/>
      <c r="AB129" s="20"/>
      <c r="AC129" s="20"/>
      <c r="AD129" s="20"/>
    </row>
    <row r="130" spans="1:30"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6"/>
      <c r="AA130" s="26"/>
      <c r="AB130" s="20"/>
      <c r="AC130" s="20"/>
      <c r="AD130" s="20"/>
    </row>
    <row r="131" spans="1:30"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6"/>
      <c r="AA131" s="26"/>
      <c r="AB131" s="20"/>
      <c r="AC131" s="20"/>
      <c r="AD131" s="20"/>
    </row>
    <row r="132" spans="1:30"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6"/>
      <c r="AA132" s="26"/>
      <c r="AB132" s="20"/>
      <c r="AC132" s="20"/>
      <c r="AD132" s="20"/>
    </row>
    <row r="133" spans="1:30"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6"/>
      <c r="AA133" s="26"/>
      <c r="AB133" s="20"/>
      <c r="AC133" s="20"/>
      <c r="AD133" s="20"/>
    </row>
    <row r="134" spans="1:30"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6"/>
      <c r="AA134" s="26"/>
      <c r="AB134" s="20"/>
      <c r="AC134" s="20"/>
      <c r="AD134" s="20"/>
    </row>
    <row r="135" spans="1:30"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6"/>
      <c r="AA135" s="26"/>
      <c r="AB135" s="20"/>
      <c r="AC135" s="20"/>
      <c r="AD135" s="20"/>
    </row>
    <row r="136" spans="1:30"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6"/>
      <c r="AA136" s="26"/>
      <c r="AB136" s="20"/>
      <c r="AC136" s="20"/>
      <c r="AD136" s="20"/>
    </row>
    <row r="137" spans="1:30"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6"/>
      <c r="AA137" s="26"/>
      <c r="AB137" s="20"/>
      <c r="AC137" s="20"/>
      <c r="AD137" s="20"/>
    </row>
    <row r="138" spans="1:30"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6"/>
      <c r="AA138" s="26"/>
      <c r="AB138" s="20"/>
      <c r="AC138" s="20"/>
      <c r="AD138" s="20"/>
    </row>
    <row r="139" spans="1:30"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6"/>
      <c r="AA139" s="26"/>
      <c r="AB139" s="20"/>
      <c r="AC139" s="20"/>
      <c r="AD139" s="20"/>
    </row>
    <row r="140" spans="1:30"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6"/>
      <c r="AA140" s="26"/>
      <c r="AB140" s="20"/>
      <c r="AC140" s="20"/>
      <c r="AD140" s="20"/>
    </row>
    <row r="141" spans="1:30"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6"/>
      <c r="AA141" s="26"/>
      <c r="AB141" s="20"/>
      <c r="AC141" s="20"/>
      <c r="AD141" s="20"/>
    </row>
    <row r="142" spans="1:30"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6"/>
      <c r="AA142" s="26"/>
      <c r="AB142" s="20"/>
      <c r="AC142" s="20"/>
      <c r="AD142" s="20"/>
    </row>
    <row r="143" spans="1:30"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6"/>
      <c r="AA143" s="26"/>
      <c r="AB143" s="20"/>
      <c r="AC143" s="20"/>
      <c r="AD143" s="20"/>
    </row>
    <row r="144" spans="1:30"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6"/>
      <c r="AA144" s="26"/>
      <c r="AB144" s="20"/>
      <c r="AC144" s="20"/>
      <c r="AD144" s="20"/>
    </row>
    <row r="145" spans="1:30"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6"/>
      <c r="AA145" s="26"/>
      <c r="AB145" s="20"/>
      <c r="AC145" s="20"/>
      <c r="AD145" s="20"/>
    </row>
    <row r="146" spans="1:30"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6"/>
      <c r="AA146" s="26"/>
      <c r="AB146" s="20"/>
      <c r="AC146" s="20"/>
      <c r="AD146" s="20"/>
    </row>
    <row r="147" spans="1:30"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6"/>
      <c r="AA147" s="26"/>
      <c r="AB147" s="20"/>
      <c r="AC147" s="20"/>
      <c r="AD147" s="20"/>
    </row>
    <row r="148" spans="1:30"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6"/>
      <c r="AA148" s="26"/>
      <c r="AB148" s="20"/>
      <c r="AC148" s="20"/>
      <c r="AD148" s="20"/>
    </row>
    <row r="149" spans="1:30"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6"/>
      <c r="AA149" s="26"/>
      <c r="AB149" s="20"/>
      <c r="AC149" s="20"/>
      <c r="AD149" s="20"/>
    </row>
    <row r="150" spans="1:30"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6"/>
      <c r="AA150" s="26"/>
      <c r="AB150" s="20"/>
      <c r="AC150" s="20"/>
      <c r="AD150" s="20"/>
    </row>
    <row r="151" spans="1:30"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6"/>
      <c r="AA151" s="26"/>
      <c r="AB151" s="20"/>
      <c r="AC151" s="20"/>
      <c r="AD151" s="20"/>
    </row>
    <row r="152" spans="1:30"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6"/>
      <c r="AA152" s="26"/>
      <c r="AB152" s="20"/>
      <c r="AC152" s="20"/>
      <c r="AD152" s="20"/>
    </row>
    <row r="153" spans="1:30"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6"/>
      <c r="AA153" s="26"/>
      <c r="AB153" s="20"/>
      <c r="AC153" s="20"/>
      <c r="AD153" s="20"/>
    </row>
    <row r="154" spans="1:30"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6"/>
      <c r="AA154" s="26"/>
      <c r="AB154" s="20"/>
      <c r="AC154" s="20"/>
      <c r="AD154" s="20"/>
    </row>
    <row r="155" spans="1:30"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6"/>
      <c r="AA155" s="26"/>
      <c r="AB155" s="20"/>
      <c r="AC155" s="20"/>
      <c r="AD155" s="20"/>
    </row>
    <row r="156" spans="1:30"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6"/>
      <c r="AA156" s="26"/>
      <c r="AB156" s="20"/>
      <c r="AC156" s="20"/>
      <c r="AD156" s="20"/>
    </row>
    <row r="157" spans="1:30"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6"/>
      <c r="AA157" s="26"/>
      <c r="AB157" s="20"/>
      <c r="AC157" s="20"/>
      <c r="AD157" s="20"/>
    </row>
    <row r="158" spans="1:30"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6"/>
      <c r="AA158" s="26"/>
      <c r="AB158" s="20"/>
      <c r="AC158" s="20"/>
      <c r="AD158" s="20"/>
    </row>
    <row r="159" spans="1:30"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6"/>
      <c r="AA159" s="26"/>
      <c r="AB159" s="20"/>
      <c r="AC159" s="20"/>
      <c r="AD159" s="20"/>
    </row>
    <row r="160" spans="1:30"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6"/>
      <c r="AA160" s="26"/>
      <c r="AB160" s="20"/>
      <c r="AC160" s="20"/>
      <c r="AD160" s="20"/>
    </row>
    <row r="161" spans="1:30"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6"/>
      <c r="AA161" s="26"/>
      <c r="AB161" s="20"/>
      <c r="AC161" s="20"/>
      <c r="AD161" s="20"/>
    </row>
    <row r="162" spans="1:30"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6"/>
      <c r="AA162" s="26"/>
      <c r="AB162" s="20"/>
      <c r="AC162" s="20"/>
      <c r="AD162" s="20"/>
    </row>
    <row r="163" spans="1:30"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6"/>
      <c r="AA163" s="26"/>
      <c r="AB163" s="20"/>
      <c r="AC163" s="20"/>
      <c r="AD163" s="20"/>
    </row>
    <row r="164" spans="1:30"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6"/>
      <c r="AA164" s="26"/>
      <c r="AB164" s="20"/>
      <c r="AC164" s="20"/>
      <c r="AD164" s="20"/>
    </row>
    <row r="165" spans="1:30"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6"/>
      <c r="AA165" s="26"/>
      <c r="AB165" s="20"/>
      <c r="AC165" s="20"/>
      <c r="AD165" s="20"/>
    </row>
    <row r="166" spans="1:30"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6"/>
      <c r="AA166" s="26"/>
      <c r="AB166" s="20"/>
      <c r="AC166" s="20"/>
      <c r="AD166" s="20"/>
    </row>
    <row r="167" spans="1:30"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6"/>
      <c r="AA167" s="26"/>
      <c r="AB167" s="20"/>
      <c r="AC167" s="20"/>
      <c r="AD167" s="20"/>
    </row>
    <row r="168" spans="1:30"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6"/>
      <c r="AA168" s="26"/>
      <c r="AB168" s="20"/>
      <c r="AC168" s="20"/>
      <c r="AD168" s="20"/>
    </row>
    <row r="169" spans="1:30"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6"/>
      <c r="AA169" s="26"/>
      <c r="AB169" s="20"/>
      <c r="AC169" s="20"/>
      <c r="AD169" s="20"/>
    </row>
    <row r="170" spans="1:30"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6"/>
      <c r="AA170" s="26"/>
      <c r="AB170" s="20"/>
      <c r="AC170" s="20"/>
      <c r="AD170" s="20"/>
    </row>
    <row r="171" spans="1:30"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6"/>
      <c r="AA171" s="26"/>
      <c r="AB171" s="20"/>
      <c r="AC171" s="20"/>
      <c r="AD171" s="20"/>
    </row>
    <row r="172" spans="1:30"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6"/>
      <c r="AA172" s="26"/>
      <c r="AB172" s="20"/>
      <c r="AC172" s="20"/>
      <c r="AD172" s="20"/>
    </row>
    <row r="173" spans="1:30"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6"/>
      <c r="AA173" s="26"/>
      <c r="AB173" s="20"/>
      <c r="AC173" s="20"/>
      <c r="AD173" s="20"/>
    </row>
    <row r="174" spans="1:30"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6"/>
      <c r="AA174" s="26"/>
      <c r="AB174" s="20"/>
      <c r="AC174" s="20"/>
      <c r="AD174" s="20"/>
    </row>
    <row r="175" spans="1:30"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6"/>
      <c r="AA175" s="26"/>
      <c r="AB175" s="20"/>
      <c r="AC175" s="20"/>
      <c r="AD175" s="20"/>
    </row>
    <row r="176" spans="1:30"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6"/>
      <c r="AA176" s="26"/>
      <c r="AB176" s="20"/>
      <c r="AC176" s="20"/>
      <c r="AD176" s="20"/>
    </row>
    <row r="177" spans="1:30"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6"/>
      <c r="AA177" s="26"/>
      <c r="AB177" s="20"/>
      <c r="AC177" s="20"/>
      <c r="AD177" s="20"/>
    </row>
    <row r="178" spans="1:30"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6"/>
      <c r="AA178" s="26"/>
      <c r="AB178" s="20"/>
      <c r="AC178" s="20"/>
      <c r="AD178" s="20"/>
    </row>
    <row r="179" spans="1:30"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6"/>
      <c r="AA179" s="26"/>
      <c r="AB179" s="20"/>
      <c r="AC179" s="20"/>
      <c r="AD179" s="20"/>
    </row>
    <row r="180" spans="1:30"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6"/>
      <c r="AA180" s="26"/>
      <c r="AB180" s="20"/>
      <c r="AC180" s="20"/>
      <c r="AD180" s="20"/>
    </row>
    <row r="181" spans="1:30"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6"/>
      <c r="AA181" s="26"/>
      <c r="AB181" s="20"/>
      <c r="AC181" s="20"/>
      <c r="AD181" s="20"/>
    </row>
    <row r="182" spans="1:30"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6"/>
      <c r="AA182" s="26"/>
      <c r="AB182" s="20"/>
      <c r="AC182" s="20"/>
      <c r="AD182" s="20"/>
    </row>
    <row r="183" spans="1:30"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6"/>
      <c r="AA183" s="26"/>
      <c r="AB183" s="20"/>
      <c r="AC183" s="20"/>
      <c r="AD183" s="20"/>
    </row>
    <row r="184" spans="1:30"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6"/>
      <c r="AA184" s="26"/>
      <c r="AB184" s="20"/>
      <c r="AC184" s="20"/>
      <c r="AD184" s="20"/>
    </row>
    <row r="185" spans="1:30"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6"/>
      <c r="AA185" s="26"/>
      <c r="AB185" s="20"/>
      <c r="AC185" s="20"/>
      <c r="AD185" s="20"/>
    </row>
    <row r="186" spans="1:30"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6"/>
      <c r="AA186" s="26"/>
      <c r="AB186" s="20"/>
      <c r="AC186" s="20"/>
      <c r="AD186" s="20"/>
    </row>
    <row r="187" spans="1:30"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6"/>
      <c r="AA187" s="26"/>
      <c r="AB187" s="20"/>
      <c r="AC187" s="20"/>
      <c r="AD187" s="20"/>
    </row>
    <row r="188" spans="1:30"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6"/>
      <c r="AA188" s="26"/>
      <c r="AB188" s="20"/>
      <c r="AC188" s="20"/>
      <c r="AD188" s="20"/>
    </row>
    <row r="189" spans="1:30"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6"/>
      <c r="AA189" s="26"/>
      <c r="AB189" s="20"/>
      <c r="AC189" s="20"/>
      <c r="AD189" s="20"/>
    </row>
    <row r="190" spans="1:30"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6"/>
      <c r="AA190" s="26"/>
      <c r="AB190" s="20"/>
      <c r="AC190" s="20"/>
      <c r="AD190" s="20"/>
    </row>
    <row r="191" spans="1:30"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6"/>
      <c r="AA191" s="26"/>
      <c r="AB191" s="20"/>
      <c r="AC191" s="20"/>
      <c r="AD191" s="20"/>
    </row>
    <row r="192" spans="1:30"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6"/>
      <c r="AA192" s="26"/>
      <c r="AB192" s="20"/>
      <c r="AC192" s="20"/>
      <c r="AD192" s="20"/>
    </row>
    <row r="193" spans="1:30"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6"/>
      <c r="AA193" s="26"/>
      <c r="AB193" s="20"/>
      <c r="AC193" s="20"/>
      <c r="AD193" s="20"/>
    </row>
    <row r="194" spans="1:30"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6"/>
      <c r="AA194" s="26"/>
      <c r="AB194" s="20"/>
      <c r="AC194" s="20"/>
      <c r="AD194" s="20"/>
    </row>
    <row r="195" spans="1:30"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6"/>
      <c r="AA195" s="26"/>
      <c r="AB195" s="20"/>
      <c r="AC195" s="20"/>
      <c r="AD195" s="20"/>
    </row>
    <row r="196" spans="1:30"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6"/>
      <c r="AA196" s="26"/>
      <c r="AB196" s="20"/>
      <c r="AC196" s="20"/>
      <c r="AD196" s="20"/>
    </row>
    <row r="197" spans="1:30"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6"/>
      <c r="AA197" s="26"/>
      <c r="AB197" s="20"/>
      <c r="AC197" s="20"/>
      <c r="AD197" s="20"/>
    </row>
    <row r="198" spans="1:30"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6"/>
      <c r="AA198" s="26"/>
      <c r="AB198" s="20"/>
      <c r="AC198" s="20"/>
      <c r="AD198" s="20"/>
    </row>
    <row r="199" spans="1:30"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6"/>
      <c r="AA199" s="26"/>
      <c r="AB199" s="20"/>
      <c r="AC199" s="20"/>
      <c r="AD199" s="20"/>
    </row>
    <row r="200" spans="1:30"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6"/>
      <c r="AA200" s="26"/>
      <c r="AB200" s="20"/>
      <c r="AC200" s="20"/>
      <c r="AD200" s="20"/>
    </row>
    <row r="201" spans="1:30"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6"/>
      <c r="AA201" s="26"/>
      <c r="AB201" s="20"/>
      <c r="AC201" s="20"/>
      <c r="AD201" s="20"/>
    </row>
    <row r="202" spans="1:30"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6"/>
      <c r="AA202" s="26"/>
      <c r="AB202" s="20"/>
      <c r="AC202" s="20"/>
      <c r="AD202" s="20"/>
    </row>
    <row r="203" spans="1:30"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6"/>
      <c r="AA203" s="26"/>
      <c r="AB203" s="20"/>
      <c r="AC203" s="20"/>
      <c r="AD203" s="20"/>
    </row>
    <row r="204" spans="1:30"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6"/>
      <c r="AA204" s="26"/>
      <c r="AB204" s="20"/>
      <c r="AC204" s="20"/>
      <c r="AD204" s="20"/>
    </row>
    <row r="205" spans="1:30"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6"/>
      <c r="AA205" s="26"/>
      <c r="AB205" s="20"/>
      <c r="AC205" s="20"/>
      <c r="AD205" s="20"/>
    </row>
    <row r="206" spans="1:30"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6"/>
      <c r="AA206" s="26"/>
      <c r="AB206" s="20"/>
      <c r="AC206" s="20"/>
      <c r="AD206" s="20"/>
    </row>
    <row r="207" spans="1:30"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6"/>
      <c r="AA207" s="26"/>
      <c r="AB207" s="20"/>
      <c r="AC207" s="20"/>
      <c r="AD207" s="20"/>
    </row>
    <row r="208" spans="1:30"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6"/>
      <c r="AA208" s="26"/>
      <c r="AB208" s="20"/>
      <c r="AC208" s="20"/>
      <c r="AD208" s="20"/>
    </row>
    <row r="209" spans="1:30"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6"/>
      <c r="AA209" s="26"/>
      <c r="AB209" s="20"/>
      <c r="AC209" s="20"/>
      <c r="AD209" s="20"/>
    </row>
    <row r="210" spans="1:30"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6"/>
      <c r="AA210" s="26"/>
      <c r="AB210" s="20"/>
      <c r="AC210" s="20"/>
      <c r="AD210" s="20"/>
    </row>
    <row r="211" spans="1:30"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6"/>
      <c r="AA211" s="26"/>
      <c r="AB211" s="20"/>
      <c r="AC211" s="20"/>
      <c r="AD211" s="20"/>
    </row>
    <row r="212" spans="1:30"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6"/>
      <c r="AA212" s="26"/>
      <c r="AB212" s="20"/>
      <c r="AC212" s="20"/>
      <c r="AD212" s="20"/>
    </row>
    <row r="213" spans="1:30"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6"/>
      <c r="AA213" s="26"/>
      <c r="AB213" s="20"/>
      <c r="AC213" s="20"/>
      <c r="AD213" s="20"/>
    </row>
    <row r="214" spans="1:30"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6"/>
      <c r="AA214" s="26"/>
      <c r="AB214" s="20"/>
      <c r="AC214" s="20"/>
      <c r="AD214" s="20"/>
    </row>
    <row r="215" spans="1:30"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6"/>
      <c r="AA215" s="26"/>
      <c r="AB215" s="20"/>
      <c r="AC215" s="20"/>
      <c r="AD215" s="20"/>
    </row>
    <row r="216" spans="1:30"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6"/>
      <c r="AA216" s="26"/>
      <c r="AB216" s="20"/>
      <c r="AC216" s="20"/>
      <c r="AD216" s="20"/>
    </row>
    <row r="217" spans="1:30"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6"/>
      <c r="AA217" s="26"/>
      <c r="AB217" s="20"/>
      <c r="AC217" s="20"/>
      <c r="AD217" s="20"/>
    </row>
    <row r="218" spans="1:30"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6"/>
      <c r="AA218" s="26"/>
      <c r="AB218" s="20"/>
      <c r="AC218" s="20"/>
      <c r="AD218" s="20"/>
    </row>
    <row r="219" spans="1:30"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6"/>
      <c r="AA219" s="26"/>
      <c r="AB219" s="20"/>
      <c r="AC219" s="20"/>
      <c r="AD219" s="20"/>
    </row>
    <row r="220" spans="1:30"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6"/>
      <c r="AA220" s="26"/>
      <c r="AB220" s="20"/>
      <c r="AC220" s="20"/>
      <c r="AD220" s="20"/>
    </row>
    <row r="221" spans="1:30"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6"/>
      <c r="AA221" s="26"/>
      <c r="AB221" s="20"/>
      <c r="AC221" s="20"/>
      <c r="AD221" s="20"/>
    </row>
    <row r="222" spans="1:30"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6"/>
      <c r="AA222" s="26"/>
      <c r="AB222" s="20"/>
      <c r="AC222" s="20"/>
      <c r="AD222" s="20"/>
    </row>
    <row r="223" spans="1:30"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6"/>
      <c r="AA223" s="26"/>
      <c r="AB223" s="20"/>
      <c r="AC223" s="20"/>
      <c r="AD223" s="20"/>
    </row>
    <row r="224" spans="1:30"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6"/>
      <c r="AA224" s="26"/>
      <c r="AB224" s="20"/>
      <c r="AC224" s="20"/>
      <c r="AD224" s="20"/>
    </row>
    <row r="225" spans="1:30"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6"/>
      <c r="AA225" s="26"/>
      <c r="AB225" s="20"/>
      <c r="AC225" s="20"/>
      <c r="AD225" s="20"/>
    </row>
    <row r="226" spans="1:30"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6"/>
      <c r="AA226" s="26"/>
      <c r="AB226" s="20"/>
      <c r="AC226" s="20"/>
      <c r="AD226" s="20"/>
    </row>
    <row r="227" spans="1:30"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6"/>
      <c r="AA227" s="26"/>
      <c r="AB227" s="20"/>
      <c r="AC227" s="20"/>
      <c r="AD227" s="20"/>
    </row>
    <row r="228" spans="1:30"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6"/>
      <c r="AA228" s="26"/>
      <c r="AB228" s="20"/>
      <c r="AC228" s="20"/>
      <c r="AD228" s="20"/>
    </row>
    <row r="229" spans="1:30"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6"/>
      <c r="AA229" s="26"/>
      <c r="AB229" s="20"/>
      <c r="AC229" s="20"/>
      <c r="AD229" s="20"/>
    </row>
    <row r="230" spans="1:30"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6"/>
      <c r="AA230" s="26"/>
      <c r="AB230" s="20"/>
      <c r="AC230" s="20"/>
      <c r="AD230" s="20"/>
    </row>
    <row r="231" spans="1:30"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6"/>
      <c r="AA231" s="26"/>
      <c r="AB231" s="20"/>
      <c r="AC231" s="20"/>
      <c r="AD231" s="20"/>
    </row>
    <row r="232" spans="1:30"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6"/>
      <c r="AA232" s="26"/>
      <c r="AB232" s="20"/>
      <c r="AC232" s="20"/>
      <c r="AD232" s="20"/>
    </row>
    <row r="233" spans="1:30"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6"/>
      <c r="AA233" s="26"/>
      <c r="AB233" s="20"/>
      <c r="AC233" s="20"/>
      <c r="AD233" s="20"/>
    </row>
    <row r="234" spans="1:30"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6"/>
      <c r="AA234" s="26"/>
      <c r="AB234" s="20"/>
      <c r="AC234" s="20"/>
      <c r="AD234" s="20"/>
    </row>
    <row r="235" spans="1:30"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6"/>
      <c r="AA235" s="26"/>
      <c r="AB235" s="20"/>
      <c r="AC235" s="20"/>
      <c r="AD235" s="20"/>
    </row>
    <row r="236" spans="1:30"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6"/>
      <c r="AA236" s="26"/>
      <c r="AB236" s="20"/>
      <c r="AC236" s="20"/>
      <c r="AD236" s="20"/>
    </row>
    <row r="237" spans="1:30"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6"/>
      <c r="AA237" s="26"/>
      <c r="AB237" s="20"/>
      <c r="AC237" s="20"/>
      <c r="AD237" s="20"/>
    </row>
    <row r="238" spans="1:30"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6"/>
      <c r="AA238" s="26"/>
      <c r="AB238" s="20"/>
      <c r="AC238" s="20"/>
      <c r="AD238" s="20"/>
    </row>
    <row r="239" spans="1:30"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6"/>
      <c r="AA239" s="26"/>
      <c r="AB239" s="20"/>
      <c r="AC239" s="20"/>
      <c r="AD239" s="20"/>
    </row>
    <row r="240" spans="1:30"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6"/>
      <c r="AA240" s="26"/>
      <c r="AB240" s="20"/>
      <c r="AC240" s="20"/>
      <c r="AD240" s="20"/>
    </row>
    <row r="241" spans="1:30"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6"/>
      <c r="AA241" s="26"/>
      <c r="AB241" s="20"/>
      <c r="AC241" s="20"/>
      <c r="AD241" s="20"/>
    </row>
    <row r="242" spans="1:30"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6"/>
      <c r="AA242" s="26"/>
      <c r="AB242" s="20"/>
      <c r="AC242" s="20"/>
      <c r="AD242" s="20"/>
    </row>
    <row r="243" spans="1:30"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6"/>
      <c r="AA243" s="26"/>
      <c r="AB243" s="20"/>
      <c r="AC243" s="20"/>
      <c r="AD243" s="20"/>
    </row>
    <row r="244" spans="1:30"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6"/>
      <c r="AA244" s="26"/>
      <c r="AB244" s="20"/>
      <c r="AC244" s="20"/>
      <c r="AD244" s="20"/>
    </row>
    <row r="245" spans="1:30"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6"/>
      <c r="AA245" s="26"/>
      <c r="AB245" s="20"/>
      <c r="AC245" s="20"/>
      <c r="AD245" s="20"/>
    </row>
    <row r="246" spans="1:30"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6"/>
      <c r="AA246" s="26"/>
      <c r="AB246" s="20"/>
      <c r="AC246" s="20"/>
      <c r="AD246" s="20"/>
    </row>
    <row r="247" spans="1:30"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6"/>
      <c r="AA247" s="26"/>
      <c r="AB247" s="20"/>
      <c r="AC247" s="20"/>
      <c r="AD247" s="20"/>
    </row>
    <row r="248" spans="1:30"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6"/>
      <c r="AA248" s="26"/>
      <c r="AB248" s="20"/>
      <c r="AC248" s="20"/>
      <c r="AD248" s="20"/>
    </row>
    <row r="249" spans="1:30"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6"/>
      <c r="AA249" s="26"/>
      <c r="AB249" s="20"/>
      <c r="AC249" s="20"/>
      <c r="AD249" s="20"/>
    </row>
    <row r="250" spans="1:30"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6"/>
      <c r="AA250" s="26"/>
      <c r="AB250" s="20"/>
      <c r="AC250" s="20"/>
      <c r="AD250" s="20"/>
    </row>
    <row r="251" spans="1:30"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6"/>
      <c r="AA251" s="26"/>
      <c r="AB251" s="20"/>
      <c r="AC251" s="20"/>
      <c r="AD251" s="20"/>
    </row>
    <row r="252" spans="1:30"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6"/>
      <c r="AA252" s="26"/>
      <c r="AB252" s="20"/>
      <c r="AC252" s="20"/>
      <c r="AD252" s="20"/>
    </row>
    <row r="253" spans="1:30"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6"/>
      <c r="AA253" s="26"/>
      <c r="AB253" s="20"/>
      <c r="AC253" s="20"/>
      <c r="AD253" s="20"/>
    </row>
    <row r="254" spans="1:30"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6"/>
      <c r="AA254" s="26"/>
      <c r="AB254" s="20"/>
      <c r="AC254" s="20"/>
      <c r="AD254" s="20"/>
    </row>
    <row r="255" spans="1:30"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6"/>
      <c r="AA255" s="26"/>
      <c r="AB255" s="20"/>
      <c r="AC255" s="20"/>
      <c r="AD255" s="20"/>
    </row>
    <row r="256" spans="1:30"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6"/>
      <c r="AA256" s="26"/>
      <c r="AB256" s="20"/>
      <c r="AC256" s="20"/>
      <c r="AD256" s="20"/>
    </row>
    <row r="257" spans="1:30"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6"/>
      <c r="AA257" s="26"/>
      <c r="AB257" s="20"/>
      <c r="AC257" s="20"/>
      <c r="AD257" s="20"/>
    </row>
    <row r="258" spans="1:30"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6"/>
      <c r="AA258" s="26"/>
      <c r="AB258" s="20"/>
      <c r="AC258" s="20"/>
      <c r="AD258" s="20"/>
    </row>
    <row r="259" spans="1:30"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6"/>
      <c r="AA259" s="26"/>
      <c r="AB259" s="20"/>
      <c r="AC259" s="20"/>
      <c r="AD259" s="20"/>
    </row>
    <row r="260" spans="1:30"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6"/>
      <c r="AA260" s="26"/>
      <c r="AB260" s="20"/>
      <c r="AC260" s="20"/>
      <c r="AD260" s="20"/>
    </row>
    <row r="261" spans="1:30"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6"/>
      <c r="AA261" s="26"/>
      <c r="AB261" s="20"/>
      <c r="AC261" s="20"/>
      <c r="AD261" s="20"/>
    </row>
    <row r="262" spans="1:30"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6"/>
      <c r="AA262" s="26"/>
      <c r="AB262" s="20"/>
      <c r="AC262" s="20"/>
      <c r="AD262" s="20"/>
    </row>
    <row r="263" spans="1:30"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6"/>
      <c r="AA263" s="26"/>
      <c r="AB263" s="20"/>
      <c r="AC263" s="20"/>
      <c r="AD263" s="20"/>
    </row>
    <row r="264" spans="1:30"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6"/>
      <c r="AA264" s="26"/>
      <c r="AB264" s="20"/>
      <c r="AC264" s="20"/>
      <c r="AD264" s="20"/>
    </row>
    <row r="265" spans="1:30"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6"/>
      <c r="AA265" s="26"/>
      <c r="AB265" s="20"/>
      <c r="AC265" s="20"/>
      <c r="AD265" s="20"/>
    </row>
    <row r="266" spans="1:30"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6"/>
      <c r="AA266" s="26"/>
      <c r="AB266" s="20"/>
      <c r="AC266" s="20"/>
      <c r="AD266" s="20"/>
    </row>
    <row r="267" spans="1:30"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6"/>
      <c r="AA267" s="26"/>
      <c r="AB267" s="20"/>
      <c r="AC267" s="20"/>
      <c r="AD267" s="20"/>
    </row>
    <row r="268" spans="1:30"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6"/>
      <c r="AA268" s="26"/>
      <c r="AB268" s="20"/>
      <c r="AC268" s="20"/>
      <c r="AD268" s="20"/>
    </row>
    <row r="269" spans="1:30"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6"/>
      <c r="AA269" s="26"/>
      <c r="AB269" s="20"/>
      <c r="AC269" s="20"/>
      <c r="AD269" s="20"/>
    </row>
    <row r="270" spans="1:30"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6"/>
      <c r="AA270" s="26"/>
      <c r="AB270" s="20"/>
      <c r="AC270" s="20"/>
      <c r="AD270" s="20"/>
    </row>
    <row r="271" spans="1:30"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6"/>
      <c r="AA271" s="26"/>
      <c r="AB271" s="20"/>
      <c r="AC271" s="20"/>
      <c r="AD271" s="20"/>
    </row>
    <row r="272" spans="1:30"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6"/>
      <c r="AA272" s="26"/>
      <c r="AB272" s="20"/>
      <c r="AC272" s="20"/>
      <c r="AD272" s="20"/>
    </row>
    <row r="273" spans="1:30"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6"/>
      <c r="AA273" s="26"/>
      <c r="AB273" s="20"/>
      <c r="AC273" s="20"/>
      <c r="AD273" s="20"/>
    </row>
    <row r="274" spans="1:30"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6"/>
      <c r="AA274" s="26"/>
      <c r="AB274" s="20"/>
      <c r="AC274" s="20"/>
      <c r="AD274" s="20"/>
    </row>
    <row r="275" spans="1:30"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6"/>
      <c r="AA275" s="26"/>
      <c r="AB275" s="20"/>
      <c r="AC275" s="20"/>
      <c r="AD275" s="20"/>
    </row>
    <row r="276" spans="1:30"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6"/>
      <c r="AA276" s="26"/>
      <c r="AB276" s="20"/>
      <c r="AC276" s="20"/>
      <c r="AD276" s="20"/>
    </row>
    <row r="277" spans="1:30"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6"/>
      <c r="AA277" s="26"/>
      <c r="AB277" s="20"/>
      <c r="AC277" s="20"/>
      <c r="AD277" s="20"/>
    </row>
    <row r="278" spans="1:30"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6"/>
      <c r="AA278" s="26"/>
      <c r="AB278" s="20"/>
      <c r="AC278" s="20"/>
      <c r="AD278" s="20"/>
    </row>
    <row r="279" spans="1:30"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6"/>
      <c r="AA279" s="26"/>
      <c r="AB279" s="20"/>
      <c r="AC279" s="20"/>
      <c r="AD279" s="20"/>
    </row>
    <row r="280" spans="1:30"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6"/>
      <c r="AA280" s="26"/>
      <c r="AB280" s="20"/>
      <c r="AC280" s="20"/>
      <c r="AD280" s="20"/>
    </row>
    <row r="281" spans="1:30"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6"/>
      <c r="AA281" s="26"/>
      <c r="AB281" s="20"/>
      <c r="AC281" s="20"/>
      <c r="AD281" s="20"/>
    </row>
    <row r="282" spans="1:30"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6"/>
      <c r="AA282" s="26"/>
      <c r="AB282" s="20"/>
      <c r="AC282" s="20"/>
      <c r="AD282" s="20"/>
    </row>
    <row r="283" spans="1:30"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6"/>
      <c r="AA283" s="26"/>
      <c r="AB283" s="20"/>
      <c r="AC283" s="20"/>
      <c r="AD283" s="20"/>
    </row>
    <row r="284" spans="1:30"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6"/>
      <c r="AA284" s="26"/>
      <c r="AB284" s="20"/>
      <c r="AC284" s="20"/>
      <c r="AD284" s="20"/>
    </row>
    <row r="285" spans="1:30"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6"/>
      <c r="AA285" s="26"/>
      <c r="AB285" s="20"/>
      <c r="AC285" s="20"/>
      <c r="AD285" s="20"/>
    </row>
    <row r="286" spans="1:30"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6"/>
      <c r="AA286" s="26"/>
      <c r="AB286" s="20"/>
      <c r="AC286" s="20"/>
      <c r="AD286" s="20"/>
    </row>
    <row r="287" spans="1:30"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6"/>
      <c r="AA287" s="26"/>
      <c r="AB287" s="20"/>
      <c r="AC287" s="20"/>
      <c r="AD287" s="20"/>
    </row>
    <row r="288" spans="1:30"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6"/>
      <c r="AA288" s="26"/>
      <c r="AB288" s="20"/>
      <c r="AC288" s="20"/>
      <c r="AD288" s="20"/>
    </row>
    <row r="289" spans="1:30"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6"/>
      <c r="AA289" s="26"/>
      <c r="AB289" s="20"/>
      <c r="AC289" s="20"/>
      <c r="AD289" s="20"/>
    </row>
    <row r="290" spans="1:30"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6"/>
      <c r="AA290" s="26"/>
      <c r="AB290" s="20"/>
      <c r="AC290" s="20"/>
      <c r="AD290" s="20"/>
    </row>
    <row r="291" spans="1:30"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6"/>
      <c r="AA291" s="26"/>
      <c r="AB291" s="20"/>
      <c r="AC291" s="20"/>
      <c r="AD291" s="20"/>
    </row>
    <row r="292" spans="1:30"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6"/>
      <c r="AA292" s="26"/>
      <c r="AB292" s="20"/>
      <c r="AC292" s="20"/>
      <c r="AD292" s="20"/>
    </row>
    <row r="293" spans="1:30"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6"/>
      <c r="AA293" s="26"/>
      <c r="AB293" s="20"/>
      <c r="AC293" s="20"/>
      <c r="AD293" s="20"/>
    </row>
    <row r="294" spans="1:30"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6"/>
      <c r="AA294" s="26"/>
      <c r="AB294" s="20"/>
      <c r="AC294" s="20"/>
      <c r="AD294" s="20"/>
    </row>
    <row r="295" spans="1:30"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6"/>
      <c r="AA295" s="26"/>
      <c r="AB295" s="20"/>
      <c r="AC295" s="20"/>
      <c r="AD295" s="20"/>
    </row>
    <row r="296" spans="1:30"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6"/>
      <c r="AA296" s="26"/>
      <c r="AB296" s="20"/>
      <c r="AC296" s="20"/>
      <c r="AD296" s="20"/>
    </row>
    <row r="297" spans="1:30"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6"/>
      <c r="AA297" s="26"/>
      <c r="AB297" s="20"/>
      <c r="AC297" s="20"/>
      <c r="AD297" s="20"/>
    </row>
    <row r="298" spans="1:30"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6"/>
      <c r="AA298" s="26"/>
      <c r="AB298" s="20"/>
      <c r="AC298" s="20"/>
      <c r="AD298" s="20"/>
    </row>
    <row r="299" spans="1:30"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6"/>
      <c r="AA299" s="26"/>
      <c r="AB299" s="20"/>
      <c r="AC299" s="20"/>
      <c r="AD299" s="20"/>
    </row>
    <row r="300" spans="1:30"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6"/>
      <c r="AA300" s="26"/>
      <c r="AB300" s="20"/>
      <c r="AC300" s="20"/>
      <c r="AD300" s="20"/>
    </row>
    <row r="301" spans="1:30"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6"/>
      <c r="AA301" s="26"/>
      <c r="AB301" s="20"/>
      <c r="AC301" s="20"/>
      <c r="AD301" s="20"/>
    </row>
    <row r="302" spans="1:30"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6"/>
      <c r="AA302" s="26"/>
      <c r="AB302" s="20"/>
      <c r="AC302" s="20"/>
      <c r="AD302" s="20"/>
    </row>
    <row r="303" spans="1:30"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6"/>
      <c r="AA303" s="26"/>
      <c r="AB303" s="20"/>
      <c r="AC303" s="20"/>
      <c r="AD303" s="20"/>
    </row>
    <row r="304" spans="1:30"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6"/>
      <c r="AA304" s="26"/>
      <c r="AB304" s="20"/>
      <c r="AC304" s="20"/>
      <c r="AD304" s="20"/>
    </row>
    <row r="305" spans="1:30"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6"/>
      <c r="AA305" s="26"/>
      <c r="AB305" s="20"/>
      <c r="AC305" s="20"/>
      <c r="AD305" s="20"/>
    </row>
    <row r="306" spans="1:30"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6"/>
      <c r="AA306" s="26"/>
      <c r="AB306" s="20"/>
      <c r="AC306" s="20"/>
      <c r="AD306" s="20"/>
    </row>
    <row r="307" spans="1:30"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6"/>
      <c r="AA307" s="26"/>
      <c r="AB307" s="20"/>
      <c r="AC307" s="20"/>
      <c r="AD307" s="20"/>
    </row>
    <row r="308" spans="1:30"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6"/>
      <c r="AA308" s="26"/>
      <c r="AB308" s="20"/>
      <c r="AC308" s="20"/>
      <c r="AD308" s="20"/>
    </row>
    <row r="309" spans="1:30"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6"/>
      <c r="AA309" s="26"/>
      <c r="AB309" s="20"/>
      <c r="AC309" s="20"/>
      <c r="AD309" s="20"/>
    </row>
    <row r="310" spans="1:30"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6"/>
      <c r="AA310" s="26"/>
      <c r="AB310" s="20"/>
      <c r="AC310" s="20"/>
      <c r="AD310" s="20"/>
    </row>
    <row r="311" spans="1:30"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6"/>
      <c r="AA311" s="26"/>
      <c r="AB311" s="20"/>
      <c r="AC311" s="20"/>
      <c r="AD311" s="20"/>
    </row>
    <row r="312" spans="1:30"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6"/>
      <c r="AA312" s="26"/>
      <c r="AB312" s="20"/>
      <c r="AC312" s="20"/>
      <c r="AD312" s="20"/>
    </row>
    <row r="313" spans="1:30"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6"/>
      <c r="AA313" s="26"/>
      <c r="AB313" s="20"/>
      <c r="AC313" s="20"/>
      <c r="AD313" s="20"/>
    </row>
    <row r="314" spans="1:30"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6"/>
      <c r="AA314" s="26"/>
      <c r="AB314" s="20"/>
      <c r="AC314" s="20"/>
      <c r="AD314" s="20"/>
    </row>
    <row r="315" spans="1:30"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6"/>
      <c r="AA315" s="26"/>
      <c r="AB315" s="20"/>
      <c r="AC315" s="20"/>
      <c r="AD315" s="20"/>
    </row>
    <row r="316" spans="1:30"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6"/>
      <c r="AA316" s="26"/>
      <c r="AB316" s="20"/>
      <c r="AC316" s="20"/>
      <c r="AD316" s="20"/>
    </row>
    <row r="317" spans="1:30"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6"/>
      <c r="AA317" s="26"/>
      <c r="AB317" s="20"/>
      <c r="AC317" s="20"/>
      <c r="AD317" s="20"/>
    </row>
    <row r="318" spans="1:30"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6"/>
      <c r="AA318" s="26"/>
      <c r="AB318" s="20"/>
      <c r="AC318" s="20"/>
      <c r="AD318" s="20"/>
    </row>
    <row r="319" spans="1:30"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6"/>
      <c r="AA319" s="26"/>
      <c r="AB319" s="20"/>
      <c r="AC319" s="20"/>
      <c r="AD319" s="20"/>
    </row>
    <row r="320" spans="1:30"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6"/>
      <c r="AA320" s="26"/>
      <c r="AB320" s="20"/>
      <c r="AC320" s="20"/>
      <c r="AD320" s="20"/>
    </row>
    <row r="321" spans="1:30"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6"/>
      <c r="AA321" s="26"/>
      <c r="AB321" s="20"/>
      <c r="AC321" s="20"/>
      <c r="AD321" s="20"/>
    </row>
    <row r="322" spans="1:30"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6"/>
      <c r="AA322" s="26"/>
      <c r="AB322" s="20"/>
      <c r="AC322" s="20"/>
      <c r="AD322" s="20"/>
    </row>
    <row r="323" spans="1:30"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6"/>
      <c r="AA323" s="26"/>
      <c r="AB323" s="20"/>
      <c r="AC323" s="20"/>
      <c r="AD323" s="20"/>
    </row>
    <row r="324" spans="1:30"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6"/>
      <c r="AA324" s="26"/>
      <c r="AB324" s="20"/>
      <c r="AC324" s="20"/>
      <c r="AD324" s="20"/>
    </row>
    <row r="325" spans="1:30"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6"/>
      <c r="AA325" s="26"/>
      <c r="AB325" s="20"/>
      <c r="AC325" s="20"/>
      <c r="AD325" s="20"/>
    </row>
    <row r="326" spans="1:30"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6"/>
      <c r="AA326" s="26"/>
      <c r="AB326" s="20"/>
      <c r="AC326" s="20"/>
      <c r="AD326" s="20"/>
    </row>
    <row r="327" spans="1:30"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6"/>
      <c r="AA327" s="26"/>
      <c r="AB327" s="20"/>
      <c r="AC327" s="20"/>
      <c r="AD327" s="20"/>
    </row>
    <row r="328" spans="1:30"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6"/>
      <c r="AA328" s="26"/>
      <c r="AB328" s="20"/>
      <c r="AC328" s="20"/>
      <c r="AD328" s="20"/>
    </row>
    <row r="329" spans="1:30"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6"/>
      <c r="AA329" s="26"/>
      <c r="AB329" s="20"/>
      <c r="AC329" s="20"/>
      <c r="AD329" s="20"/>
    </row>
    <row r="330" spans="1:30"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6"/>
      <c r="AA330" s="26"/>
      <c r="AB330" s="20"/>
      <c r="AC330" s="20"/>
      <c r="AD330" s="20"/>
    </row>
    <row r="331" spans="1:30"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6"/>
      <c r="AA331" s="26"/>
      <c r="AB331" s="20"/>
      <c r="AC331" s="20"/>
      <c r="AD331" s="20"/>
    </row>
    <row r="332" spans="1:30"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6"/>
      <c r="AA332" s="26"/>
      <c r="AB332" s="20"/>
      <c r="AC332" s="20"/>
      <c r="AD332" s="20"/>
    </row>
    <row r="333" spans="1:30"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6"/>
      <c r="AA333" s="26"/>
      <c r="AB333" s="20"/>
      <c r="AC333" s="20"/>
      <c r="AD333" s="20"/>
    </row>
    <row r="334" spans="1:30"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6"/>
      <c r="AA334" s="26"/>
      <c r="AB334" s="20"/>
      <c r="AC334" s="20"/>
      <c r="AD334" s="20"/>
    </row>
    <row r="335" spans="1:30"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6"/>
      <c r="AA335" s="26"/>
      <c r="AB335" s="20"/>
      <c r="AC335" s="20"/>
      <c r="AD335" s="20"/>
    </row>
    <row r="336" spans="1:30"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6"/>
      <c r="AA336" s="26"/>
      <c r="AB336" s="20"/>
      <c r="AC336" s="20"/>
      <c r="AD336" s="20"/>
    </row>
    <row r="337" spans="1:30"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6"/>
      <c r="AA337" s="26"/>
      <c r="AB337" s="20"/>
      <c r="AC337" s="20"/>
      <c r="AD337" s="20"/>
    </row>
    <row r="338" spans="1:30"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6"/>
      <c r="AA338" s="26"/>
      <c r="AB338" s="20"/>
      <c r="AC338" s="20"/>
      <c r="AD338" s="20"/>
    </row>
    <row r="339" spans="1:30"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6"/>
      <c r="AA339" s="26"/>
      <c r="AB339" s="20"/>
      <c r="AC339" s="20"/>
      <c r="AD339" s="20"/>
    </row>
    <row r="340" spans="1:30"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6"/>
      <c r="AA340" s="26"/>
      <c r="AB340" s="20"/>
      <c r="AC340" s="20"/>
      <c r="AD340" s="20"/>
    </row>
    <row r="341" spans="1:30"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6"/>
      <c r="AA341" s="26"/>
      <c r="AB341" s="20"/>
      <c r="AC341" s="20"/>
      <c r="AD341" s="20"/>
    </row>
    <row r="342" spans="1:30"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6"/>
      <c r="AA342" s="26"/>
      <c r="AB342" s="20"/>
      <c r="AC342" s="20"/>
      <c r="AD342" s="20"/>
    </row>
    <row r="343" spans="1:30"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6"/>
      <c r="AA343" s="26"/>
      <c r="AB343" s="20"/>
      <c r="AC343" s="20"/>
      <c r="AD343" s="20"/>
    </row>
    <row r="344" spans="1:30"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6"/>
      <c r="AA344" s="26"/>
      <c r="AB344" s="20"/>
      <c r="AC344" s="20"/>
      <c r="AD344" s="20"/>
    </row>
    <row r="345" spans="1:30"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6"/>
      <c r="AA345" s="26"/>
      <c r="AB345" s="20"/>
      <c r="AC345" s="20"/>
      <c r="AD345" s="20"/>
    </row>
    <row r="346" spans="1:30"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6"/>
      <c r="AA346" s="26"/>
      <c r="AB346" s="20"/>
      <c r="AC346" s="20"/>
      <c r="AD346" s="20"/>
    </row>
    <row r="347" spans="1:30"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6"/>
      <c r="AA347" s="26"/>
      <c r="AB347" s="20"/>
      <c r="AC347" s="20"/>
      <c r="AD347" s="20"/>
    </row>
    <row r="348" spans="1:30"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6"/>
      <c r="AA348" s="26"/>
      <c r="AB348" s="20"/>
      <c r="AC348" s="20"/>
      <c r="AD348" s="20"/>
    </row>
    <row r="349" spans="1:30"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6"/>
      <c r="AA349" s="26"/>
      <c r="AB349" s="20"/>
      <c r="AC349" s="20"/>
      <c r="AD349" s="20"/>
    </row>
    <row r="350" spans="1:30"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6"/>
      <c r="AA350" s="26"/>
      <c r="AB350" s="20"/>
      <c r="AC350" s="20"/>
      <c r="AD350" s="20"/>
    </row>
    <row r="351" spans="1:30"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6"/>
      <c r="AA351" s="26"/>
      <c r="AB351" s="20"/>
      <c r="AC351" s="20"/>
      <c r="AD351" s="20"/>
    </row>
    <row r="352" spans="1:30"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6"/>
      <c r="AA352" s="26"/>
      <c r="AB352" s="20"/>
      <c r="AC352" s="20"/>
      <c r="AD352" s="20"/>
    </row>
    <row r="353" spans="1:30"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6"/>
      <c r="AA353" s="26"/>
      <c r="AB353" s="20"/>
      <c r="AC353" s="20"/>
      <c r="AD353" s="20"/>
    </row>
    <row r="354" spans="1:30"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6"/>
      <c r="AA354" s="26"/>
      <c r="AB354" s="20"/>
      <c r="AC354" s="20"/>
      <c r="AD354" s="20"/>
    </row>
    <row r="355" spans="1:30"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6"/>
      <c r="AA355" s="26"/>
      <c r="AB355" s="20"/>
      <c r="AC355" s="20"/>
      <c r="AD355" s="20"/>
    </row>
    <row r="356" spans="1:30"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6"/>
      <c r="AA356" s="26"/>
      <c r="AB356" s="20"/>
      <c r="AC356" s="20"/>
      <c r="AD356" s="20"/>
    </row>
    <row r="357" spans="1:30"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6"/>
      <c r="AA357" s="26"/>
      <c r="AB357" s="20"/>
      <c r="AC357" s="20"/>
      <c r="AD357" s="20"/>
    </row>
    <row r="358" spans="1:30"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6"/>
      <c r="AA358" s="26"/>
      <c r="AB358" s="20"/>
      <c r="AC358" s="20"/>
      <c r="AD358" s="20"/>
    </row>
    <row r="359" spans="1:30"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6"/>
      <c r="AA359" s="26"/>
      <c r="AB359" s="20"/>
      <c r="AC359" s="20"/>
      <c r="AD359" s="20"/>
    </row>
    <row r="360" spans="1:30"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6"/>
      <c r="AA360" s="26"/>
      <c r="AB360" s="20"/>
      <c r="AC360" s="20"/>
      <c r="AD360" s="20"/>
    </row>
    <row r="361" spans="1:30"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6"/>
      <c r="AA361" s="26"/>
      <c r="AB361" s="20"/>
      <c r="AC361" s="20"/>
      <c r="AD361" s="20"/>
    </row>
    <row r="362" spans="1:30"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6"/>
      <c r="AA362" s="26"/>
      <c r="AB362" s="20"/>
      <c r="AC362" s="20"/>
      <c r="AD362" s="20"/>
    </row>
    <row r="363" spans="1:30"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6"/>
      <c r="AA363" s="26"/>
      <c r="AB363" s="20"/>
      <c r="AC363" s="20"/>
      <c r="AD363" s="20"/>
    </row>
    <row r="364" spans="1:30"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6"/>
      <c r="AA364" s="26"/>
      <c r="AB364" s="20"/>
      <c r="AC364" s="20"/>
      <c r="AD364" s="20"/>
    </row>
    <row r="365" spans="1:30"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6"/>
      <c r="AA365" s="26"/>
      <c r="AB365" s="20"/>
      <c r="AC365" s="20"/>
      <c r="AD365" s="20"/>
    </row>
    <row r="366" spans="1:30"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6"/>
      <c r="AA366" s="26"/>
      <c r="AB366" s="20"/>
      <c r="AC366" s="20"/>
      <c r="AD366" s="20"/>
    </row>
    <row r="367" spans="1:30"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6"/>
      <c r="AA367" s="26"/>
      <c r="AB367" s="20"/>
      <c r="AC367" s="20"/>
      <c r="AD367" s="20"/>
    </row>
    <row r="368" spans="1:30"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6"/>
      <c r="AA368" s="26"/>
      <c r="AB368" s="20"/>
      <c r="AC368" s="20"/>
      <c r="AD368" s="20"/>
    </row>
    <row r="369" spans="1:30"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6"/>
      <c r="AA369" s="26"/>
      <c r="AB369" s="20"/>
      <c r="AC369" s="20"/>
      <c r="AD369" s="20"/>
    </row>
    <row r="370" spans="1:30"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6"/>
      <c r="AA370" s="26"/>
      <c r="AB370" s="20"/>
      <c r="AC370" s="20"/>
      <c r="AD370" s="20"/>
    </row>
    <row r="371" spans="1:30"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6"/>
      <c r="AA371" s="26"/>
      <c r="AB371" s="20"/>
      <c r="AC371" s="20"/>
      <c r="AD371" s="20"/>
    </row>
    <row r="372" spans="1:30"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6"/>
      <c r="AA372" s="26"/>
      <c r="AB372" s="20"/>
      <c r="AC372" s="20"/>
      <c r="AD372" s="20"/>
    </row>
    <row r="373" spans="1:30"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6"/>
      <c r="AA373" s="26"/>
      <c r="AB373" s="20"/>
      <c r="AC373" s="20"/>
      <c r="AD373" s="20"/>
    </row>
    <row r="374" spans="1:30"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6"/>
      <c r="AA374" s="26"/>
      <c r="AB374" s="20"/>
      <c r="AC374" s="20"/>
      <c r="AD374" s="20"/>
    </row>
    <row r="375" spans="1:30"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6"/>
      <c r="AA375" s="26"/>
      <c r="AB375" s="20"/>
      <c r="AC375" s="20"/>
      <c r="AD375" s="20"/>
    </row>
    <row r="376" spans="1:30"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6"/>
      <c r="AA376" s="26"/>
      <c r="AB376" s="20"/>
      <c r="AC376" s="20"/>
      <c r="AD376" s="20"/>
    </row>
    <row r="377" spans="1:30"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6"/>
      <c r="AA377" s="26"/>
      <c r="AB377" s="20"/>
      <c r="AC377" s="20"/>
      <c r="AD377" s="20"/>
    </row>
    <row r="378" spans="1:30"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6"/>
      <c r="AA378" s="26"/>
      <c r="AB378" s="20"/>
      <c r="AC378" s="20"/>
      <c r="AD378" s="20"/>
    </row>
    <row r="379" spans="1:30"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6"/>
      <c r="AA379" s="26"/>
      <c r="AB379" s="20"/>
      <c r="AC379" s="20"/>
      <c r="AD379" s="20"/>
    </row>
    <row r="380" spans="1:30"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6"/>
      <c r="AA380" s="26"/>
      <c r="AB380" s="20"/>
      <c r="AC380" s="20"/>
      <c r="AD380" s="20"/>
    </row>
    <row r="381" spans="1:30"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6"/>
      <c r="AA381" s="26"/>
      <c r="AB381" s="20"/>
      <c r="AC381" s="20"/>
      <c r="AD381" s="20"/>
    </row>
    <row r="382" spans="1:30"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6"/>
      <c r="AA382" s="26"/>
      <c r="AB382" s="20"/>
      <c r="AC382" s="20"/>
      <c r="AD382" s="20"/>
    </row>
    <row r="383" spans="1:30"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6"/>
      <c r="AA383" s="26"/>
      <c r="AB383" s="20"/>
      <c r="AC383" s="20"/>
      <c r="AD383" s="20"/>
    </row>
    <row r="384" spans="1:30"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6"/>
      <c r="AA384" s="26"/>
      <c r="AB384" s="20"/>
      <c r="AC384" s="20"/>
      <c r="AD384" s="20"/>
    </row>
    <row r="385" spans="1:30"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6"/>
      <c r="AA385" s="26"/>
      <c r="AB385" s="20"/>
      <c r="AC385" s="20"/>
      <c r="AD385" s="20"/>
    </row>
    <row r="386" spans="1:30"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6"/>
      <c r="AA386" s="26"/>
      <c r="AB386" s="20"/>
      <c r="AC386" s="20"/>
      <c r="AD386" s="20"/>
    </row>
    <row r="387" spans="1:30"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6"/>
      <c r="AA387" s="26"/>
      <c r="AB387" s="20"/>
      <c r="AC387" s="20"/>
      <c r="AD387" s="20"/>
    </row>
    <row r="388" spans="1:30"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6"/>
      <c r="AA388" s="26"/>
      <c r="AB388" s="20"/>
      <c r="AC388" s="20"/>
      <c r="AD388" s="20"/>
    </row>
    <row r="389" spans="1:30"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6"/>
      <c r="AA389" s="26"/>
      <c r="AB389" s="20"/>
      <c r="AC389" s="20"/>
      <c r="AD389" s="20"/>
    </row>
    <row r="390" spans="1:30"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6"/>
      <c r="AA390" s="26"/>
      <c r="AB390" s="20"/>
      <c r="AC390" s="20"/>
      <c r="AD390" s="20"/>
    </row>
    <row r="391" spans="1:30"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6"/>
      <c r="AA391" s="26"/>
      <c r="AB391" s="20"/>
      <c r="AC391" s="20"/>
      <c r="AD391" s="20"/>
    </row>
    <row r="392" spans="1:30"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6"/>
      <c r="AA392" s="26"/>
      <c r="AB392" s="20"/>
      <c r="AC392" s="20"/>
      <c r="AD392" s="20"/>
    </row>
    <row r="393" spans="1:30"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6"/>
      <c r="AA393" s="26"/>
      <c r="AB393" s="20"/>
      <c r="AC393" s="20"/>
      <c r="AD393" s="20"/>
    </row>
    <row r="394" spans="1:30"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6"/>
      <c r="AA394" s="26"/>
      <c r="AB394" s="20"/>
      <c r="AC394" s="20"/>
      <c r="AD394" s="20"/>
    </row>
    <row r="395" spans="1:30"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6"/>
      <c r="AA395" s="26"/>
      <c r="AB395" s="20"/>
      <c r="AC395" s="20"/>
      <c r="AD395" s="20"/>
    </row>
    <row r="396" spans="1:30"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6"/>
      <c r="AA396" s="26"/>
      <c r="AB396" s="20"/>
      <c r="AC396" s="20"/>
      <c r="AD396" s="20"/>
    </row>
    <row r="397" spans="1:30"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6"/>
      <c r="AA397" s="26"/>
      <c r="AB397" s="20"/>
      <c r="AC397" s="20"/>
      <c r="AD397" s="20"/>
    </row>
    <row r="398" spans="1:30"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6"/>
      <c r="AA398" s="26"/>
      <c r="AB398" s="20"/>
      <c r="AC398" s="20"/>
      <c r="AD398" s="20"/>
    </row>
    <row r="399" spans="1:30"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6"/>
      <c r="AA399" s="26"/>
      <c r="AB399" s="20"/>
      <c r="AC399" s="20"/>
      <c r="AD399" s="20"/>
    </row>
    <row r="400" spans="1:30"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6"/>
      <c r="AA400" s="26"/>
      <c r="AB400" s="20"/>
      <c r="AC400" s="20"/>
      <c r="AD400" s="20"/>
    </row>
    <row r="401" spans="1:30"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6"/>
      <c r="AA401" s="26"/>
      <c r="AB401" s="20"/>
      <c r="AC401" s="20"/>
      <c r="AD401" s="20"/>
    </row>
    <row r="402" spans="1:30"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6"/>
      <c r="AA402" s="26"/>
      <c r="AB402" s="20"/>
      <c r="AC402" s="20"/>
      <c r="AD402" s="20"/>
    </row>
    <row r="403" spans="1:30"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6"/>
      <c r="AA403" s="26"/>
      <c r="AB403" s="20"/>
      <c r="AC403" s="20"/>
      <c r="AD403" s="20"/>
    </row>
    <row r="404" spans="1:30"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6"/>
      <c r="AA404" s="26"/>
      <c r="AB404" s="20"/>
      <c r="AC404" s="20"/>
      <c r="AD404" s="20"/>
    </row>
    <row r="405" spans="1:30"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6"/>
      <c r="AA405" s="26"/>
      <c r="AB405" s="20"/>
      <c r="AC405" s="20"/>
      <c r="AD405" s="20"/>
    </row>
    <row r="406" spans="1:30"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6"/>
      <c r="AA406" s="26"/>
      <c r="AB406" s="20"/>
      <c r="AC406" s="20"/>
      <c r="AD406" s="20"/>
    </row>
    <row r="407" spans="1:30"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6"/>
      <c r="AA407" s="26"/>
      <c r="AB407" s="20"/>
      <c r="AC407" s="20"/>
      <c r="AD407" s="20"/>
    </row>
    <row r="408" spans="1:30"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6"/>
      <c r="AA408" s="26"/>
      <c r="AB408" s="20"/>
      <c r="AC408" s="20"/>
      <c r="AD408" s="20"/>
    </row>
    <row r="409" spans="1:30"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6"/>
      <c r="AA409" s="26"/>
      <c r="AB409" s="20"/>
      <c r="AC409" s="20"/>
      <c r="AD409" s="20"/>
    </row>
    <row r="410" spans="1:30"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6"/>
      <c r="AA410" s="26"/>
      <c r="AB410" s="20"/>
      <c r="AC410" s="20"/>
      <c r="AD410" s="20"/>
    </row>
    <row r="411" spans="1:30"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6"/>
      <c r="AA411" s="26"/>
      <c r="AB411" s="20"/>
      <c r="AC411" s="20"/>
      <c r="AD411" s="20"/>
    </row>
    <row r="412" spans="1:30"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6"/>
      <c r="AA412" s="26"/>
      <c r="AB412" s="20"/>
      <c r="AC412" s="20"/>
      <c r="AD412" s="20"/>
    </row>
    <row r="413" spans="1:30"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6"/>
      <c r="AA413" s="26"/>
      <c r="AB413" s="20"/>
      <c r="AC413" s="20"/>
      <c r="AD413" s="20"/>
    </row>
    <row r="414" spans="1:30"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6"/>
      <c r="AA414" s="26"/>
      <c r="AB414" s="20"/>
      <c r="AC414" s="20"/>
      <c r="AD414" s="20"/>
    </row>
    <row r="415" spans="1:30"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6"/>
      <c r="AA415" s="26"/>
      <c r="AB415" s="20"/>
      <c r="AC415" s="20"/>
      <c r="AD415" s="20"/>
    </row>
    <row r="416" spans="1:30"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6"/>
      <c r="AA416" s="26"/>
      <c r="AB416" s="20"/>
      <c r="AC416" s="20"/>
      <c r="AD416" s="20"/>
    </row>
    <row r="417" spans="1:30"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6"/>
      <c r="AA417" s="26"/>
      <c r="AB417" s="20"/>
      <c r="AC417" s="20"/>
      <c r="AD417" s="20"/>
    </row>
    <row r="418" spans="1:30"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6"/>
      <c r="AA418" s="26"/>
      <c r="AB418" s="20"/>
      <c r="AC418" s="20"/>
      <c r="AD418" s="20"/>
    </row>
    <row r="419" spans="1:30"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6"/>
      <c r="AA419" s="26"/>
      <c r="AB419" s="20"/>
      <c r="AC419" s="20"/>
      <c r="AD419" s="20"/>
    </row>
    <row r="420" spans="1:30"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6"/>
      <c r="AA420" s="26"/>
      <c r="AB420" s="20"/>
      <c r="AC420" s="20"/>
      <c r="AD420" s="20"/>
    </row>
    <row r="421" spans="1:30"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6"/>
      <c r="AA421" s="26"/>
      <c r="AB421" s="20"/>
      <c r="AC421" s="20"/>
      <c r="AD421" s="20"/>
    </row>
    <row r="422" spans="1:30"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6"/>
      <c r="AA422" s="26"/>
      <c r="AB422" s="20"/>
      <c r="AC422" s="20"/>
      <c r="AD422" s="20"/>
    </row>
    <row r="423" spans="1:30"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6"/>
      <c r="AA423" s="26"/>
      <c r="AB423" s="20"/>
      <c r="AC423" s="20"/>
      <c r="AD423" s="20"/>
    </row>
    <row r="424" spans="1:30"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6"/>
      <c r="AA424" s="26"/>
      <c r="AB424" s="20"/>
      <c r="AC424" s="20"/>
      <c r="AD424" s="20"/>
    </row>
    <row r="425" spans="1:30"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6"/>
      <c r="AA425" s="26"/>
      <c r="AB425" s="20"/>
      <c r="AC425" s="20"/>
      <c r="AD425" s="20"/>
    </row>
    <row r="426" spans="1:30"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6"/>
      <c r="AA426" s="26"/>
      <c r="AB426" s="20"/>
      <c r="AC426" s="20"/>
      <c r="AD426" s="20"/>
    </row>
    <row r="427" spans="1:30"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6"/>
      <c r="AA427" s="26"/>
      <c r="AB427" s="20"/>
      <c r="AC427" s="20"/>
      <c r="AD427" s="20"/>
    </row>
    <row r="428" spans="1:30"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6"/>
      <c r="AA428" s="26"/>
      <c r="AB428" s="20"/>
      <c r="AC428" s="20"/>
      <c r="AD428" s="20"/>
    </row>
    <row r="429" spans="1:30"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6"/>
      <c r="AA429" s="26"/>
      <c r="AB429" s="20"/>
      <c r="AC429" s="20"/>
      <c r="AD429" s="20"/>
    </row>
    <row r="430" spans="1:30"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6"/>
      <c r="AA430" s="26"/>
      <c r="AB430" s="20"/>
      <c r="AC430" s="20"/>
      <c r="AD430" s="20"/>
    </row>
    <row r="431" spans="1:30"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6"/>
      <c r="AA431" s="26"/>
      <c r="AB431" s="20"/>
      <c r="AC431" s="20"/>
      <c r="AD431" s="20"/>
    </row>
    <row r="432" spans="1:30"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6"/>
      <c r="AA432" s="26"/>
      <c r="AB432" s="20"/>
      <c r="AC432" s="20"/>
      <c r="AD432" s="20"/>
    </row>
    <row r="433" spans="1:30"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6"/>
      <c r="AA433" s="26"/>
      <c r="AB433" s="20"/>
      <c r="AC433" s="20"/>
      <c r="AD433" s="20"/>
    </row>
    <row r="434" spans="1:30"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6"/>
      <c r="AA434" s="26"/>
      <c r="AB434" s="20"/>
      <c r="AC434" s="20"/>
      <c r="AD434" s="20"/>
    </row>
    <row r="435" spans="1:30"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6"/>
      <c r="AA435" s="26"/>
      <c r="AB435" s="20"/>
      <c r="AC435" s="20"/>
      <c r="AD435" s="20"/>
    </row>
    <row r="436" spans="1:30"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6"/>
      <c r="AA436" s="26"/>
      <c r="AB436" s="20"/>
      <c r="AC436" s="20"/>
      <c r="AD436" s="20"/>
    </row>
    <row r="437" spans="1:30"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6"/>
      <c r="AA437" s="26"/>
      <c r="AB437" s="20"/>
      <c r="AC437" s="20"/>
      <c r="AD437" s="20"/>
    </row>
    <row r="438" spans="1:30"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6"/>
      <c r="AA438" s="26"/>
      <c r="AB438" s="20"/>
      <c r="AC438" s="20"/>
      <c r="AD438" s="20"/>
    </row>
    <row r="439" spans="1:30"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6"/>
      <c r="AA439" s="26"/>
      <c r="AB439" s="20"/>
      <c r="AC439" s="20"/>
      <c r="AD439" s="20"/>
    </row>
    <row r="440" spans="1:30"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6"/>
      <c r="AA440" s="26"/>
      <c r="AB440" s="20"/>
      <c r="AC440" s="20"/>
      <c r="AD440" s="20"/>
    </row>
    <row r="441" spans="1:30"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6"/>
      <c r="AA441" s="26"/>
      <c r="AB441" s="20"/>
      <c r="AC441" s="20"/>
      <c r="AD441" s="20"/>
    </row>
    <row r="442" spans="1:30"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6"/>
      <c r="AA442" s="26"/>
      <c r="AB442" s="20"/>
      <c r="AC442" s="20"/>
      <c r="AD442" s="20"/>
    </row>
    <row r="443" spans="1:30"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6"/>
      <c r="AA443" s="26"/>
      <c r="AB443" s="20"/>
      <c r="AC443" s="20"/>
      <c r="AD443" s="20"/>
    </row>
    <row r="444" spans="1:30"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6"/>
      <c r="AA444" s="26"/>
      <c r="AB444" s="20"/>
      <c r="AC444" s="20"/>
      <c r="AD444" s="20"/>
    </row>
    <row r="445" spans="1:30"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6"/>
      <c r="AA445" s="26"/>
      <c r="AB445" s="20"/>
      <c r="AC445" s="20"/>
      <c r="AD445" s="20"/>
    </row>
    <row r="446" spans="1:30"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6"/>
      <c r="AA446" s="26"/>
      <c r="AB446" s="20"/>
      <c r="AC446" s="20"/>
      <c r="AD446" s="20"/>
    </row>
    <row r="447" spans="1:30"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6"/>
      <c r="AA447" s="26"/>
      <c r="AB447" s="20"/>
      <c r="AC447" s="20"/>
      <c r="AD447" s="20"/>
    </row>
    <row r="448" spans="1:30"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6"/>
      <c r="AA448" s="26"/>
      <c r="AB448" s="20"/>
      <c r="AC448" s="20"/>
      <c r="AD448" s="20"/>
    </row>
    <row r="449" spans="1:30"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6"/>
      <c r="AA449" s="26"/>
      <c r="AB449" s="20"/>
      <c r="AC449" s="20"/>
      <c r="AD449" s="20"/>
    </row>
    <row r="450" spans="1:30"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6"/>
      <c r="AA450" s="26"/>
      <c r="AB450" s="20"/>
      <c r="AC450" s="20"/>
      <c r="AD450" s="20"/>
    </row>
    <row r="451" spans="1:30"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6"/>
      <c r="AA451" s="26"/>
      <c r="AB451" s="20"/>
      <c r="AC451" s="20"/>
      <c r="AD451" s="20"/>
    </row>
    <row r="452" spans="1:30"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6"/>
      <c r="AA452" s="26"/>
      <c r="AB452" s="20"/>
      <c r="AC452" s="20"/>
      <c r="AD452" s="20"/>
    </row>
    <row r="453" spans="1:30"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6"/>
      <c r="AA453" s="26"/>
      <c r="AB453" s="20"/>
      <c r="AC453" s="20"/>
      <c r="AD453" s="20"/>
    </row>
    <row r="454" spans="1:30"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6"/>
      <c r="AA454" s="26"/>
      <c r="AB454" s="20"/>
      <c r="AC454" s="20"/>
      <c r="AD454" s="20"/>
    </row>
    <row r="455" spans="1:30"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6"/>
      <c r="AA455" s="26"/>
      <c r="AB455" s="20"/>
      <c r="AC455" s="20"/>
      <c r="AD455" s="20"/>
    </row>
    <row r="456" spans="1:30"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6"/>
      <c r="AA456" s="26"/>
      <c r="AB456" s="20"/>
      <c r="AC456" s="20"/>
      <c r="AD456" s="20"/>
    </row>
    <row r="457" spans="1:30"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6"/>
      <c r="AA457" s="26"/>
      <c r="AB457" s="20"/>
      <c r="AC457" s="20"/>
      <c r="AD457" s="20"/>
    </row>
    <row r="458" spans="1:30"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6"/>
      <c r="AA458" s="26"/>
      <c r="AB458" s="20"/>
      <c r="AC458" s="20"/>
      <c r="AD458" s="20"/>
    </row>
    <row r="459" spans="1:30"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6"/>
      <c r="AA459" s="26"/>
      <c r="AB459" s="20"/>
      <c r="AC459" s="20"/>
      <c r="AD459" s="20"/>
    </row>
    <row r="460" spans="1:30"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6"/>
      <c r="AA460" s="26"/>
      <c r="AB460" s="20"/>
      <c r="AC460" s="20"/>
      <c r="AD460" s="20"/>
    </row>
    <row r="461" spans="1:30"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6"/>
      <c r="AA461" s="26"/>
      <c r="AB461" s="20"/>
      <c r="AC461" s="20"/>
      <c r="AD461" s="20"/>
    </row>
    <row r="462" spans="1:30"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6"/>
      <c r="AA462" s="26"/>
      <c r="AB462" s="20"/>
      <c r="AC462" s="20"/>
      <c r="AD462" s="20"/>
    </row>
    <row r="463" spans="1:30"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6"/>
      <c r="AA463" s="26"/>
      <c r="AB463" s="20"/>
      <c r="AC463" s="20"/>
      <c r="AD463" s="20"/>
    </row>
    <row r="464" spans="1:30"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6"/>
      <c r="AA464" s="26"/>
      <c r="AB464" s="20"/>
      <c r="AC464" s="20"/>
      <c r="AD464" s="20"/>
    </row>
    <row r="465" spans="1:30"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6"/>
      <c r="AA465" s="26"/>
      <c r="AB465" s="20"/>
      <c r="AC465" s="20"/>
      <c r="AD465" s="20"/>
    </row>
    <row r="466" spans="1:30"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6"/>
      <c r="AA466" s="26"/>
      <c r="AB466" s="20"/>
      <c r="AC466" s="20"/>
      <c r="AD466" s="20"/>
    </row>
    <row r="467" spans="1:30"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6"/>
      <c r="AA467" s="26"/>
      <c r="AB467" s="20"/>
      <c r="AC467" s="20"/>
      <c r="AD467" s="20"/>
    </row>
    <row r="468" spans="1:30"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6"/>
      <c r="AA468" s="26"/>
      <c r="AB468" s="20"/>
      <c r="AC468" s="20"/>
      <c r="AD468" s="20"/>
    </row>
    <row r="469" spans="1:30"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6"/>
      <c r="AA469" s="26"/>
      <c r="AB469" s="20"/>
      <c r="AC469" s="20"/>
      <c r="AD469" s="20"/>
    </row>
    <row r="470" spans="1:30"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6"/>
      <c r="AA470" s="26"/>
      <c r="AB470" s="20"/>
      <c r="AC470" s="20"/>
      <c r="AD470" s="20"/>
    </row>
    <row r="471" spans="1:30"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6"/>
      <c r="AA471" s="26"/>
      <c r="AB471" s="20"/>
      <c r="AC471" s="20"/>
      <c r="AD471" s="20"/>
    </row>
    <row r="472" spans="1:30"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6"/>
      <c r="AA472" s="26"/>
      <c r="AB472" s="20"/>
      <c r="AC472" s="20"/>
      <c r="AD472" s="20"/>
    </row>
    <row r="473" spans="1:30"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6"/>
      <c r="AA473" s="26"/>
      <c r="AB473" s="20"/>
      <c r="AC473" s="20"/>
      <c r="AD473" s="20"/>
    </row>
    <row r="474" spans="1:30"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6"/>
      <c r="AA474" s="26"/>
      <c r="AB474" s="20"/>
      <c r="AC474" s="20"/>
      <c r="AD474" s="20"/>
    </row>
    <row r="475" spans="1:30"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6"/>
      <c r="AA475" s="26"/>
      <c r="AB475" s="20"/>
      <c r="AC475" s="20"/>
      <c r="AD475" s="20"/>
    </row>
    <row r="476" spans="1:30"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6"/>
      <c r="AA476" s="26"/>
      <c r="AB476" s="20"/>
      <c r="AC476" s="20"/>
      <c r="AD476" s="20"/>
    </row>
    <row r="477" spans="1:30"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6"/>
      <c r="AA477" s="26"/>
      <c r="AB477" s="20"/>
      <c r="AC477" s="20"/>
      <c r="AD477" s="20"/>
    </row>
    <row r="478" spans="1:30"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6"/>
      <c r="AA478" s="26"/>
      <c r="AB478" s="20"/>
      <c r="AC478" s="20"/>
      <c r="AD478" s="20"/>
    </row>
    <row r="479" spans="1:30"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6"/>
      <c r="AA479" s="26"/>
      <c r="AB479" s="20"/>
      <c r="AC479" s="20"/>
      <c r="AD479" s="20"/>
    </row>
    <row r="480" spans="1:30"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6"/>
      <c r="AA480" s="26"/>
      <c r="AB480" s="20"/>
      <c r="AC480" s="20"/>
      <c r="AD480" s="20"/>
    </row>
    <row r="481" spans="1:30"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6"/>
      <c r="AA481" s="26"/>
      <c r="AB481" s="20"/>
      <c r="AC481" s="20"/>
      <c r="AD481" s="20"/>
    </row>
    <row r="482" spans="1:30"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6"/>
      <c r="AA482" s="26"/>
      <c r="AB482" s="20"/>
      <c r="AC482" s="20"/>
      <c r="AD482" s="20"/>
    </row>
    <row r="483" spans="1:30"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6"/>
      <c r="AA483" s="26"/>
      <c r="AB483" s="20"/>
      <c r="AC483" s="20"/>
      <c r="AD483" s="20"/>
    </row>
    <row r="484" spans="1:30"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6"/>
      <c r="AA484" s="26"/>
      <c r="AB484" s="20"/>
      <c r="AC484" s="20"/>
      <c r="AD484" s="20"/>
    </row>
    <row r="485" spans="1:30"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6"/>
      <c r="AA485" s="26"/>
      <c r="AB485" s="20"/>
      <c r="AC485" s="20"/>
      <c r="AD485" s="20"/>
    </row>
    <row r="486" spans="1:30"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6"/>
      <c r="AA486" s="26"/>
      <c r="AB486" s="20"/>
      <c r="AC486" s="20"/>
      <c r="AD486" s="20"/>
    </row>
    <row r="487" spans="1:30"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6"/>
      <c r="AA487" s="26"/>
      <c r="AB487" s="20"/>
      <c r="AC487" s="20"/>
      <c r="AD487" s="20"/>
    </row>
    <row r="488" spans="1:30"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6"/>
      <c r="AA488" s="26"/>
      <c r="AB488" s="20"/>
      <c r="AC488" s="20"/>
      <c r="AD488" s="20"/>
    </row>
    <row r="489" spans="1:30"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6"/>
      <c r="AA489" s="26"/>
      <c r="AB489" s="20"/>
      <c r="AC489" s="20"/>
      <c r="AD489" s="20"/>
    </row>
    <row r="490" spans="1:30"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6"/>
      <c r="AA490" s="26"/>
      <c r="AB490" s="20"/>
      <c r="AC490" s="20"/>
      <c r="AD490" s="20"/>
    </row>
    <row r="491" spans="1:30"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6"/>
      <c r="AA491" s="26"/>
      <c r="AB491" s="20"/>
      <c r="AC491" s="20"/>
      <c r="AD491" s="20"/>
    </row>
    <row r="492" spans="1:30"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6"/>
      <c r="AA492" s="26"/>
      <c r="AB492" s="20"/>
      <c r="AC492" s="20"/>
      <c r="AD492" s="20"/>
    </row>
    <row r="493" spans="1:30"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6"/>
      <c r="AA493" s="26"/>
      <c r="AB493" s="20"/>
      <c r="AC493" s="20"/>
      <c r="AD493" s="20"/>
    </row>
    <row r="494" spans="1:30"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6"/>
      <c r="AA494" s="26"/>
      <c r="AB494" s="20"/>
      <c r="AC494" s="20"/>
      <c r="AD494" s="20"/>
    </row>
    <row r="495" spans="1:30"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6"/>
      <c r="AA495" s="26"/>
      <c r="AB495" s="20"/>
      <c r="AC495" s="20"/>
      <c r="AD495" s="20"/>
    </row>
    <row r="496" spans="1:30"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6"/>
      <c r="AA496" s="26"/>
      <c r="AB496" s="20"/>
      <c r="AC496" s="20"/>
      <c r="AD496" s="20"/>
    </row>
    <row r="497" spans="1:30"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6"/>
      <c r="AA497" s="26"/>
      <c r="AB497" s="20"/>
      <c r="AC497" s="20"/>
      <c r="AD497" s="20"/>
    </row>
    <row r="498" spans="1:30"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6"/>
      <c r="AA498" s="26"/>
      <c r="AB498" s="20"/>
      <c r="AC498" s="20"/>
      <c r="AD498" s="20"/>
    </row>
    <row r="499" spans="1:30"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6"/>
      <c r="AA499" s="26"/>
      <c r="AB499" s="20"/>
      <c r="AC499" s="20"/>
      <c r="AD499" s="20"/>
    </row>
    <row r="500" spans="1:30"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6"/>
      <c r="AA500" s="26"/>
      <c r="AB500" s="20"/>
      <c r="AC500" s="20"/>
      <c r="AD500" s="20"/>
    </row>
    <row r="501" spans="1:30"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6"/>
      <c r="AA501" s="26"/>
      <c r="AB501" s="20"/>
      <c r="AC501" s="20"/>
      <c r="AD501" s="20"/>
    </row>
    <row r="502" spans="1:30"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6"/>
      <c r="AA502" s="26"/>
      <c r="AB502" s="20"/>
      <c r="AC502" s="20"/>
      <c r="AD502" s="20"/>
    </row>
    <row r="503" spans="1:30"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6"/>
      <c r="AA503" s="26"/>
      <c r="AB503" s="20"/>
      <c r="AC503" s="20"/>
      <c r="AD503" s="20"/>
    </row>
    <row r="504" spans="1:30"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6"/>
      <c r="AA504" s="26"/>
      <c r="AB504" s="20"/>
      <c r="AC504" s="20"/>
      <c r="AD504" s="20"/>
    </row>
    <row r="505" spans="1:30"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6"/>
      <c r="AA505" s="26"/>
      <c r="AB505" s="20"/>
      <c r="AC505" s="20"/>
      <c r="AD505" s="20"/>
    </row>
    <row r="506" spans="1:30"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6"/>
      <c r="AA506" s="26"/>
      <c r="AB506" s="20"/>
      <c r="AC506" s="20"/>
      <c r="AD506" s="20"/>
    </row>
    <row r="507" spans="1:30"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6"/>
      <c r="AA507" s="26"/>
      <c r="AB507" s="20"/>
      <c r="AC507" s="20"/>
      <c r="AD507" s="20"/>
    </row>
    <row r="508" spans="1:30"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6"/>
      <c r="AA508" s="26"/>
      <c r="AB508" s="20"/>
      <c r="AC508" s="20"/>
      <c r="AD508" s="20"/>
    </row>
    <row r="509" spans="1:30"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6"/>
      <c r="AA509" s="26"/>
      <c r="AB509" s="20"/>
      <c r="AC509" s="20"/>
      <c r="AD509" s="20"/>
    </row>
    <row r="510" spans="1:30"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6"/>
      <c r="AA510" s="26"/>
      <c r="AB510" s="20"/>
      <c r="AC510" s="20"/>
      <c r="AD510" s="20"/>
    </row>
    <row r="511" spans="1:30"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6"/>
      <c r="AA511" s="26"/>
      <c r="AB511" s="20"/>
      <c r="AC511" s="20"/>
      <c r="AD511" s="20"/>
    </row>
    <row r="512" spans="1:30"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6"/>
      <c r="AA512" s="26"/>
      <c r="AB512" s="20"/>
      <c r="AC512" s="20"/>
      <c r="AD512" s="20"/>
    </row>
    <row r="513" spans="1:30"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6"/>
      <c r="AA513" s="26"/>
      <c r="AB513" s="20"/>
      <c r="AC513" s="20"/>
      <c r="AD513" s="20"/>
    </row>
    <row r="514" spans="1:30"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6"/>
      <c r="AA514" s="26"/>
      <c r="AB514" s="20"/>
      <c r="AC514" s="20"/>
      <c r="AD514" s="20"/>
    </row>
    <row r="515" spans="1:30"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6"/>
      <c r="AA515" s="26"/>
      <c r="AB515" s="20"/>
      <c r="AC515" s="20"/>
      <c r="AD515" s="20"/>
    </row>
    <row r="516" spans="1:30"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6"/>
      <c r="AA516" s="26"/>
      <c r="AB516" s="20"/>
      <c r="AC516" s="20"/>
      <c r="AD516" s="20"/>
    </row>
    <row r="517" spans="1:30"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6"/>
      <c r="AA517" s="26"/>
      <c r="AB517" s="20"/>
      <c r="AC517" s="20"/>
      <c r="AD517" s="20"/>
    </row>
    <row r="518" spans="1:30"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6"/>
      <c r="AA518" s="26"/>
      <c r="AB518" s="20"/>
      <c r="AC518" s="20"/>
      <c r="AD518" s="20"/>
    </row>
    <row r="519" spans="1:30"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6"/>
      <c r="AA519" s="26"/>
      <c r="AB519" s="20"/>
      <c r="AC519" s="20"/>
      <c r="AD519" s="20"/>
    </row>
    <row r="520" spans="1:30"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6"/>
      <c r="AA520" s="26"/>
      <c r="AB520" s="20"/>
      <c r="AC520" s="20"/>
      <c r="AD520" s="20"/>
    </row>
    <row r="521" spans="1:30"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6"/>
      <c r="AA521" s="26"/>
      <c r="AB521" s="20"/>
      <c r="AC521" s="20"/>
      <c r="AD521" s="20"/>
    </row>
    <row r="522" spans="1:30"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6"/>
      <c r="AA522" s="26"/>
      <c r="AB522" s="20"/>
      <c r="AC522" s="20"/>
      <c r="AD522" s="20"/>
    </row>
    <row r="523" spans="1:30"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6"/>
      <c r="AA523" s="26"/>
      <c r="AB523" s="20"/>
      <c r="AC523" s="20"/>
      <c r="AD523" s="20"/>
    </row>
    <row r="524" spans="1:30"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6"/>
      <c r="AA524" s="26"/>
      <c r="AB524" s="20"/>
      <c r="AC524" s="20"/>
      <c r="AD524" s="20"/>
    </row>
    <row r="525" spans="1:30"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6"/>
      <c r="AA525" s="26"/>
      <c r="AB525" s="20"/>
      <c r="AC525" s="20"/>
      <c r="AD525" s="20"/>
    </row>
    <row r="526" spans="1:30"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6"/>
      <c r="AA526" s="26"/>
      <c r="AB526" s="20"/>
      <c r="AC526" s="20"/>
      <c r="AD526" s="20"/>
    </row>
    <row r="527" spans="1:30"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6"/>
      <c r="AA527" s="26"/>
      <c r="AB527" s="20"/>
      <c r="AC527" s="20"/>
      <c r="AD527" s="20"/>
    </row>
    <row r="528" spans="1:30"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6"/>
      <c r="AA528" s="26"/>
      <c r="AB528" s="20"/>
      <c r="AC528" s="20"/>
      <c r="AD528" s="20"/>
    </row>
    <row r="529" spans="1:30"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6"/>
      <c r="AA529" s="26"/>
      <c r="AB529" s="20"/>
      <c r="AC529" s="20"/>
      <c r="AD529" s="20"/>
    </row>
    <row r="530" spans="1:30"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6"/>
      <c r="AA530" s="26"/>
      <c r="AB530" s="20"/>
      <c r="AC530" s="20"/>
      <c r="AD530" s="20"/>
    </row>
    <row r="531" spans="1:30"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6"/>
      <c r="AA531" s="26"/>
      <c r="AB531" s="20"/>
      <c r="AC531" s="20"/>
      <c r="AD531" s="20"/>
    </row>
    <row r="532" spans="1:30"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6"/>
      <c r="AA532" s="26"/>
      <c r="AB532" s="20"/>
      <c r="AC532" s="20"/>
      <c r="AD532" s="20"/>
    </row>
    <row r="533" spans="1:30"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6"/>
      <c r="AA533" s="26"/>
      <c r="AB533" s="20"/>
      <c r="AC533" s="20"/>
      <c r="AD533" s="20"/>
    </row>
    <row r="534" spans="1:30"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6"/>
      <c r="AA534" s="26"/>
      <c r="AB534" s="20"/>
      <c r="AC534" s="20"/>
      <c r="AD534" s="20"/>
    </row>
    <row r="535" spans="1:30"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6"/>
      <c r="AA535" s="26"/>
      <c r="AB535" s="20"/>
      <c r="AC535" s="20"/>
      <c r="AD535" s="20"/>
    </row>
    <row r="536" spans="1:30"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6"/>
      <c r="AA536" s="26"/>
      <c r="AB536" s="20"/>
      <c r="AC536" s="20"/>
      <c r="AD536" s="20"/>
    </row>
    <row r="537" spans="1:30"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6"/>
      <c r="AA537" s="26"/>
      <c r="AB537" s="20"/>
      <c r="AC537" s="20"/>
      <c r="AD537" s="20"/>
    </row>
    <row r="538" spans="1:30"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6"/>
      <c r="AA538" s="26"/>
      <c r="AB538" s="20"/>
      <c r="AC538" s="20"/>
      <c r="AD538" s="20"/>
    </row>
    <row r="539" spans="1:30"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6"/>
      <c r="AA539" s="26"/>
      <c r="AB539" s="20"/>
      <c r="AC539" s="20"/>
      <c r="AD539" s="20"/>
    </row>
    <row r="540" spans="1:30"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6"/>
      <c r="AA540" s="26"/>
      <c r="AB540" s="20"/>
      <c r="AC540" s="20"/>
      <c r="AD540" s="20"/>
    </row>
    <row r="541" spans="1:30"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6"/>
      <c r="AA541" s="26"/>
      <c r="AB541" s="20"/>
      <c r="AC541" s="20"/>
      <c r="AD541" s="20"/>
    </row>
    <row r="542" spans="1:30"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6"/>
      <c r="AA542" s="26"/>
      <c r="AB542" s="20"/>
      <c r="AC542" s="20"/>
      <c r="AD542" s="20"/>
    </row>
    <row r="543" spans="1:30"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6"/>
      <c r="AA543" s="26"/>
      <c r="AB543" s="20"/>
      <c r="AC543" s="20"/>
      <c r="AD543" s="20"/>
    </row>
    <row r="544" spans="1:30"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6"/>
      <c r="AA544" s="26"/>
      <c r="AB544" s="20"/>
      <c r="AC544" s="20"/>
      <c r="AD544" s="20"/>
    </row>
    <row r="545" spans="1:30"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6"/>
      <c r="AA545" s="26"/>
      <c r="AB545" s="20"/>
      <c r="AC545" s="20"/>
      <c r="AD545" s="20"/>
    </row>
    <row r="546" spans="1:30"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6"/>
      <c r="AA546" s="26"/>
      <c r="AB546" s="20"/>
      <c r="AC546" s="20"/>
      <c r="AD546" s="20"/>
    </row>
    <row r="547" spans="1:30"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6"/>
      <c r="AA547" s="26"/>
      <c r="AB547" s="20"/>
      <c r="AC547" s="20"/>
      <c r="AD547" s="20"/>
    </row>
    <row r="548" spans="1:30"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6"/>
      <c r="AA548" s="26"/>
      <c r="AB548" s="20"/>
      <c r="AC548" s="20"/>
      <c r="AD548" s="20"/>
    </row>
    <row r="549" spans="1:30"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6"/>
      <c r="AA549" s="26"/>
      <c r="AB549" s="20"/>
      <c r="AC549" s="20"/>
      <c r="AD549" s="20"/>
    </row>
    <row r="550" spans="1:30"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6"/>
      <c r="AA550" s="26"/>
      <c r="AB550" s="20"/>
      <c r="AC550" s="20"/>
      <c r="AD550" s="20"/>
    </row>
    <row r="551" spans="1:30"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6"/>
      <c r="AA551" s="26"/>
      <c r="AB551" s="20"/>
      <c r="AC551" s="20"/>
      <c r="AD551" s="20"/>
    </row>
    <row r="552" spans="1:30"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6"/>
      <c r="AA552" s="26"/>
      <c r="AB552" s="20"/>
      <c r="AC552" s="20"/>
      <c r="AD552" s="20"/>
    </row>
    <row r="553" spans="1:30"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6"/>
      <c r="AA553" s="26"/>
      <c r="AB553" s="20"/>
      <c r="AC553" s="20"/>
      <c r="AD553" s="20"/>
    </row>
    <row r="554" spans="1:30"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6"/>
      <c r="AA554" s="26"/>
      <c r="AB554" s="20"/>
      <c r="AC554" s="20"/>
      <c r="AD554" s="20"/>
    </row>
    <row r="555" spans="1:30"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6"/>
      <c r="AA555" s="26"/>
      <c r="AB555" s="20"/>
      <c r="AC555" s="20"/>
      <c r="AD555" s="20"/>
    </row>
    <row r="556" spans="1:30"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6"/>
      <c r="AA556" s="26"/>
      <c r="AB556" s="20"/>
      <c r="AC556" s="20"/>
      <c r="AD556" s="20"/>
    </row>
    <row r="557" spans="1:30"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6"/>
      <c r="AA557" s="26"/>
      <c r="AB557" s="20"/>
      <c r="AC557" s="20"/>
      <c r="AD557" s="20"/>
    </row>
    <row r="558" spans="1:30"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6"/>
      <c r="AA558" s="26"/>
      <c r="AB558" s="20"/>
      <c r="AC558" s="20"/>
      <c r="AD558" s="20"/>
    </row>
    <row r="559" spans="1:30"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6"/>
      <c r="AA559" s="26"/>
      <c r="AB559" s="20"/>
      <c r="AC559" s="20"/>
      <c r="AD559" s="20"/>
    </row>
    <row r="560" spans="1:30"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6"/>
      <c r="AA560" s="26"/>
      <c r="AB560" s="20"/>
      <c r="AC560" s="20"/>
      <c r="AD560" s="20"/>
    </row>
    <row r="561" spans="1:30"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6"/>
      <c r="AA561" s="26"/>
      <c r="AB561" s="20"/>
      <c r="AC561" s="20"/>
      <c r="AD561" s="20"/>
    </row>
    <row r="562" spans="1:30"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6"/>
      <c r="AA562" s="26"/>
      <c r="AB562" s="20"/>
      <c r="AC562" s="20"/>
      <c r="AD562" s="20"/>
    </row>
    <row r="563" spans="1:30"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6"/>
      <c r="AA563" s="26"/>
      <c r="AB563" s="20"/>
      <c r="AC563" s="20"/>
      <c r="AD563" s="20"/>
    </row>
    <row r="564" spans="1:30"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6"/>
      <c r="AA564" s="26"/>
      <c r="AB564" s="20"/>
      <c r="AC564" s="20"/>
      <c r="AD564" s="20"/>
    </row>
    <row r="565" spans="1:30"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6"/>
      <c r="AA565" s="26"/>
      <c r="AB565" s="20"/>
      <c r="AC565" s="20"/>
      <c r="AD565" s="20"/>
    </row>
    <row r="566" spans="1:30"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6"/>
      <c r="AA566" s="26"/>
      <c r="AB566" s="20"/>
      <c r="AC566" s="20"/>
      <c r="AD566" s="20"/>
    </row>
    <row r="567" spans="1:30"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6"/>
      <c r="AA567" s="26"/>
      <c r="AB567" s="20"/>
      <c r="AC567" s="20"/>
      <c r="AD567" s="20"/>
    </row>
    <row r="568" spans="1:30"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6"/>
      <c r="AA568" s="26"/>
      <c r="AB568" s="20"/>
      <c r="AC568" s="20"/>
      <c r="AD568" s="20"/>
    </row>
    <row r="569" spans="1:30"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6"/>
      <c r="AA569" s="26"/>
      <c r="AB569" s="20"/>
      <c r="AC569" s="20"/>
      <c r="AD569" s="20"/>
    </row>
    <row r="570" spans="1:30"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6"/>
      <c r="AA570" s="26"/>
      <c r="AB570" s="20"/>
      <c r="AC570" s="20"/>
      <c r="AD570" s="20"/>
    </row>
    <row r="571" spans="1:30"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6"/>
      <c r="AA571" s="26"/>
      <c r="AB571" s="20"/>
      <c r="AC571" s="20"/>
      <c r="AD571" s="20"/>
    </row>
    <row r="572" spans="1:30"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6"/>
      <c r="AA572" s="26"/>
      <c r="AB572" s="20"/>
      <c r="AC572" s="20"/>
      <c r="AD572" s="20"/>
    </row>
    <row r="573" spans="1:30"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6"/>
      <c r="AA573" s="26"/>
      <c r="AB573" s="20"/>
      <c r="AC573" s="20"/>
      <c r="AD573" s="20"/>
    </row>
    <row r="574" spans="1:30"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6"/>
      <c r="AA574" s="26"/>
      <c r="AB574" s="20"/>
      <c r="AC574" s="20"/>
      <c r="AD574" s="20"/>
    </row>
    <row r="575" spans="1:30"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6"/>
      <c r="AA575" s="26"/>
      <c r="AB575" s="20"/>
      <c r="AC575" s="20"/>
      <c r="AD575" s="20"/>
    </row>
    <row r="576" spans="1:30"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6"/>
      <c r="AA576" s="26"/>
      <c r="AB576" s="20"/>
      <c r="AC576" s="20"/>
      <c r="AD576" s="20"/>
    </row>
    <row r="577" spans="1:30"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6"/>
      <c r="AA577" s="26"/>
      <c r="AB577" s="20"/>
      <c r="AC577" s="20"/>
      <c r="AD577" s="20"/>
    </row>
    <row r="578" spans="1:30"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6"/>
      <c r="AA578" s="26"/>
      <c r="AB578" s="20"/>
      <c r="AC578" s="20"/>
      <c r="AD578" s="20"/>
    </row>
    <row r="579" spans="1:30"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6"/>
      <c r="AA579" s="26"/>
      <c r="AB579" s="20"/>
      <c r="AC579" s="20"/>
      <c r="AD579" s="20"/>
    </row>
    <row r="580" spans="1:30"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6"/>
      <c r="AA580" s="26"/>
      <c r="AB580" s="20"/>
      <c r="AC580" s="20"/>
      <c r="AD580" s="20"/>
    </row>
    <row r="581" spans="1:30"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6"/>
      <c r="AA581" s="26"/>
      <c r="AB581" s="20"/>
      <c r="AC581" s="20"/>
      <c r="AD581" s="20"/>
    </row>
    <row r="582" spans="1:30"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6"/>
      <c r="AA582" s="26"/>
      <c r="AB582" s="20"/>
      <c r="AC582" s="20"/>
      <c r="AD582" s="20"/>
    </row>
    <row r="583" spans="1:30"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6"/>
      <c r="AA583" s="26"/>
      <c r="AB583" s="20"/>
      <c r="AC583" s="20"/>
      <c r="AD583" s="20"/>
    </row>
    <row r="584" spans="1:30"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6"/>
      <c r="AA584" s="26"/>
      <c r="AB584" s="20"/>
      <c r="AC584" s="20"/>
      <c r="AD584" s="20"/>
    </row>
    <row r="585" spans="1:30"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6"/>
      <c r="AA585" s="26"/>
      <c r="AB585" s="20"/>
      <c r="AC585" s="20"/>
      <c r="AD585" s="20"/>
    </row>
    <row r="586" spans="1:30"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6"/>
      <c r="AA586" s="26"/>
      <c r="AB586" s="20"/>
      <c r="AC586" s="20"/>
      <c r="AD586" s="20"/>
    </row>
    <row r="587" spans="1:30"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6"/>
      <c r="AA587" s="26"/>
      <c r="AB587" s="20"/>
      <c r="AC587" s="20"/>
      <c r="AD587" s="20"/>
    </row>
    <row r="588" spans="1:30"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6"/>
      <c r="AA588" s="26"/>
      <c r="AB588" s="20"/>
      <c r="AC588" s="20"/>
      <c r="AD588" s="20"/>
    </row>
    <row r="589" spans="1:30"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6"/>
      <c r="AA589" s="26"/>
      <c r="AB589" s="20"/>
      <c r="AC589" s="20"/>
      <c r="AD589" s="20"/>
    </row>
    <row r="590" spans="1:30"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6"/>
      <c r="AA590" s="26"/>
      <c r="AB590" s="20"/>
      <c r="AC590" s="20"/>
      <c r="AD590" s="20"/>
    </row>
    <row r="591" spans="1:30"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6"/>
      <c r="AA591" s="26"/>
      <c r="AB591" s="20"/>
      <c r="AC591" s="20"/>
      <c r="AD591" s="20"/>
    </row>
    <row r="592" spans="1:30"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6"/>
      <c r="AA592" s="26"/>
      <c r="AB592" s="20"/>
      <c r="AC592" s="20"/>
      <c r="AD592" s="20"/>
    </row>
    <row r="593" spans="1:30"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6"/>
      <c r="AA593" s="26"/>
      <c r="AB593" s="20"/>
      <c r="AC593" s="20"/>
      <c r="AD593" s="20"/>
    </row>
    <row r="594" spans="1:30"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6"/>
      <c r="AA594" s="26"/>
      <c r="AB594" s="20"/>
      <c r="AC594" s="20"/>
      <c r="AD594" s="20"/>
    </row>
    <row r="595" spans="1:30"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6"/>
      <c r="AA595" s="26"/>
      <c r="AB595" s="20"/>
      <c r="AC595" s="20"/>
      <c r="AD595" s="20"/>
    </row>
    <row r="596" spans="1:30"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6"/>
      <c r="AA596" s="26"/>
      <c r="AB596" s="20"/>
      <c r="AC596" s="20"/>
      <c r="AD596" s="20"/>
    </row>
    <row r="597" spans="1:30"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6"/>
      <c r="AA597" s="26"/>
      <c r="AB597" s="20"/>
      <c r="AC597" s="20"/>
      <c r="AD597" s="20"/>
    </row>
    <row r="598" spans="1:30"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6"/>
      <c r="AA598" s="26"/>
      <c r="AB598" s="20"/>
      <c r="AC598" s="20"/>
      <c r="AD598" s="20"/>
    </row>
    <row r="599" spans="1:30"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6"/>
      <c r="AA599" s="26"/>
      <c r="AB599" s="20"/>
      <c r="AC599" s="20"/>
      <c r="AD599" s="20"/>
    </row>
    <row r="600" spans="1:30"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6"/>
      <c r="AA600" s="26"/>
      <c r="AB600" s="20"/>
      <c r="AC600" s="20"/>
      <c r="AD600" s="20"/>
    </row>
    <row r="601" spans="1:30"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6"/>
      <c r="AA601" s="26"/>
      <c r="AB601" s="20"/>
      <c r="AC601" s="20"/>
      <c r="AD601" s="20"/>
    </row>
    <row r="602" spans="1:30"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6"/>
      <c r="AA602" s="26"/>
      <c r="AB602" s="20"/>
      <c r="AC602" s="20"/>
      <c r="AD602" s="20"/>
    </row>
    <row r="603" spans="1:30"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6"/>
      <c r="AA603" s="26"/>
      <c r="AB603" s="20"/>
      <c r="AC603" s="20"/>
      <c r="AD603" s="20"/>
    </row>
    <row r="604" spans="1:30"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6"/>
      <c r="AA604" s="26"/>
      <c r="AB604" s="20"/>
      <c r="AC604" s="20"/>
      <c r="AD604" s="20"/>
    </row>
    <row r="605" spans="1:30"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6"/>
      <c r="AA605" s="26"/>
      <c r="AB605" s="20"/>
      <c r="AC605" s="20"/>
      <c r="AD605" s="20"/>
    </row>
    <row r="606" spans="1:30"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6"/>
      <c r="AA606" s="26"/>
      <c r="AB606" s="20"/>
      <c r="AC606" s="20"/>
      <c r="AD606" s="20"/>
    </row>
    <row r="607" spans="1:30"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6"/>
      <c r="AA607" s="26"/>
      <c r="AB607" s="20"/>
      <c r="AC607" s="20"/>
      <c r="AD607" s="20"/>
    </row>
    <row r="608" spans="1:30"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6"/>
      <c r="AA608" s="26"/>
      <c r="AB608" s="20"/>
      <c r="AC608" s="20"/>
      <c r="AD608" s="20"/>
    </row>
    <row r="609" spans="1:30"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6"/>
      <c r="AA609" s="26"/>
      <c r="AB609" s="20"/>
      <c r="AC609" s="20"/>
      <c r="AD609" s="20"/>
    </row>
    <row r="610" spans="1:30"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6"/>
      <c r="AA610" s="26"/>
      <c r="AB610" s="20"/>
      <c r="AC610" s="20"/>
      <c r="AD610" s="20"/>
    </row>
    <row r="611" spans="1:30"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6"/>
      <c r="AA611" s="26"/>
      <c r="AB611" s="20"/>
      <c r="AC611" s="20"/>
      <c r="AD611" s="20"/>
    </row>
    <row r="612" spans="1:30"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6"/>
      <c r="AA612" s="26"/>
      <c r="AB612" s="20"/>
      <c r="AC612" s="20"/>
      <c r="AD612" s="20"/>
    </row>
    <row r="613" spans="1:30"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6"/>
      <c r="AA613" s="26"/>
      <c r="AB613" s="20"/>
      <c r="AC613" s="20"/>
      <c r="AD613" s="20"/>
    </row>
    <row r="614" spans="1:30"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6"/>
      <c r="AA614" s="26"/>
      <c r="AB614" s="20"/>
      <c r="AC614" s="20"/>
      <c r="AD614" s="20"/>
    </row>
    <row r="615" spans="1:30"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6"/>
      <c r="AA615" s="26"/>
      <c r="AB615" s="20"/>
      <c r="AC615" s="20"/>
      <c r="AD615" s="20"/>
    </row>
    <row r="616" spans="1:30"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6"/>
      <c r="AA616" s="26"/>
      <c r="AB616" s="20"/>
      <c r="AC616" s="20"/>
      <c r="AD616" s="20"/>
    </row>
    <row r="617" spans="1:30"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6"/>
      <c r="AA617" s="26"/>
      <c r="AB617" s="20"/>
      <c r="AC617" s="20"/>
      <c r="AD617" s="20"/>
    </row>
    <row r="618" spans="1:30"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6"/>
      <c r="AA618" s="26"/>
      <c r="AB618" s="20"/>
      <c r="AC618" s="20"/>
      <c r="AD618" s="20"/>
    </row>
    <row r="619" spans="1:30"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6"/>
      <c r="AA619" s="26"/>
      <c r="AB619" s="20"/>
      <c r="AC619" s="20"/>
      <c r="AD619" s="20"/>
    </row>
    <row r="620" spans="1:30"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6"/>
      <c r="AA620" s="26"/>
      <c r="AB620" s="20"/>
      <c r="AC620" s="20"/>
      <c r="AD620" s="20"/>
    </row>
    <row r="621" spans="1:30"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6"/>
      <c r="AA621" s="26"/>
      <c r="AB621" s="20"/>
      <c r="AC621" s="20"/>
      <c r="AD621" s="20"/>
    </row>
    <row r="622" spans="1:30"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6"/>
      <c r="AA622" s="26"/>
      <c r="AB622" s="20"/>
      <c r="AC622" s="20"/>
      <c r="AD622" s="20"/>
    </row>
    <row r="623" spans="1:30"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6"/>
      <c r="AA623" s="26"/>
      <c r="AB623" s="20"/>
      <c r="AC623" s="20"/>
      <c r="AD623" s="20"/>
    </row>
    <row r="624" spans="1:30"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6"/>
      <c r="AA624" s="26"/>
      <c r="AB624" s="20"/>
      <c r="AC624" s="20"/>
      <c r="AD624" s="20"/>
    </row>
    <row r="625" spans="1:30"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6"/>
      <c r="AA625" s="26"/>
      <c r="AB625" s="20"/>
      <c r="AC625" s="20"/>
      <c r="AD625" s="20"/>
    </row>
    <row r="626" spans="1:30"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6"/>
      <c r="AA626" s="26"/>
      <c r="AB626" s="20"/>
      <c r="AC626" s="20"/>
      <c r="AD626" s="20"/>
    </row>
    <row r="627" spans="1:30"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6"/>
      <c r="AA627" s="26"/>
      <c r="AB627" s="20"/>
      <c r="AC627" s="20"/>
      <c r="AD627" s="20"/>
    </row>
    <row r="628" spans="1:30"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6"/>
      <c r="AA628" s="26"/>
      <c r="AB628" s="20"/>
      <c r="AC628" s="20"/>
      <c r="AD628" s="20"/>
    </row>
    <row r="629" spans="1:30"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6"/>
      <c r="AA629" s="26"/>
      <c r="AB629" s="20"/>
      <c r="AC629" s="20"/>
      <c r="AD629" s="20"/>
    </row>
    <row r="630" spans="1:30"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6"/>
      <c r="AA630" s="26"/>
      <c r="AB630" s="20"/>
      <c r="AC630" s="20"/>
      <c r="AD630" s="20"/>
    </row>
    <row r="631" spans="1:30"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6"/>
      <c r="AA631" s="26"/>
      <c r="AB631" s="20"/>
      <c r="AC631" s="20"/>
      <c r="AD631" s="20"/>
    </row>
    <row r="632" spans="1:30"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6"/>
      <c r="AA632" s="26"/>
      <c r="AB632" s="20"/>
      <c r="AC632" s="20"/>
      <c r="AD632" s="20"/>
    </row>
    <row r="633" spans="1:30"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6"/>
      <c r="AA633" s="26"/>
      <c r="AB633" s="20"/>
      <c r="AC633" s="20"/>
      <c r="AD633" s="20"/>
    </row>
    <row r="634" spans="1:30"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6"/>
      <c r="AA634" s="26"/>
      <c r="AB634" s="20"/>
      <c r="AC634" s="20"/>
      <c r="AD634" s="20"/>
    </row>
    <row r="635" spans="1:30"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6"/>
      <c r="AA635" s="26"/>
      <c r="AB635" s="20"/>
      <c r="AC635" s="20"/>
      <c r="AD635" s="20"/>
    </row>
    <row r="636" spans="1:30"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6"/>
      <c r="AA636" s="26"/>
      <c r="AB636" s="20"/>
      <c r="AC636" s="20"/>
      <c r="AD636" s="20"/>
    </row>
    <row r="637" spans="1:30"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6"/>
      <c r="AA637" s="26"/>
      <c r="AB637" s="20"/>
      <c r="AC637" s="20"/>
      <c r="AD637" s="20"/>
    </row>
    <row r="638" spans="1:30"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6"/>
      <c r="AA638" s="26"/>
      <c r="AB638" s="20"/>
      <c r="AC638" s="20"/>
      <c r="AD638" s="20"/>
    </row>
    <row r="639" spans="1:30"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6"/>
      <c r="AA639" s="26"/>
      <c r="AB639" s="20"/>
      <c r="AC639" s="20"/>
      <c r="AD639" s="20"/>
    </row>
    <row r="640" spans="1:30"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6"/>
      <c r="AA640" s="26"/>
      <c r="AB640" s="20"/>
      <c r="AC640" s="20"/>
      <c r="AD640" s="20"/>
    </row>
    <row r="641" spans="1:30"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6"/>
      <c r="AA641" s="26"/>
      <c r="AB641" s="20"/>
      <c r="AC641" s="20"/>
      <c r="AD641" s="20"/>
    </row>
    <row r="642" spans="1:30"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6"/>
      <c r="AA642" s="26"/>
      <c r="AB642" s="20"/>
      <c r="AC642" s="20"/>
      <c r="AD642" s="20"/>
    </row>
    <row r="643" spans="1:30"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6"/>
      <c r="AA643" s="26"/>
      <c r="AB643" s="20"/>
      <c r="AC643" s="20"/>
      <c r="AD643" s="20"/>
    </row>
    <row r="644" spans="1:30"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6"/>
      <c r="AA644" s="26"/>
      <c r="AB644" s="20"/>
      <c r="AC644" s="20"/>
      <c r="AD644" s="20"/>
    </row>
    <row r="645" spans="1:30"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6"/>
      <c r="AA645" s="26"/>
      <c r="AB645" s="20"/>
      <c r="AC645" s="20"/>
      <c r="AD645" s="20"/>
    </row>
    <row r="646" spans="1:30"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6"/>
      <c r="AA646" s="26"/>
      <c r="AB646" s="20"/>
      <c r="AC646" s="20"/>
      <c r="AD646" s="20"/>
    </row>
    <row r="647" spans="1:30"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6"/>
      <c r="AA647" s="26"/>
      <c r="AB647" s="20"/>
      <c r="AC647" s="20"/>
      <c r="AD647" s="20"/>
    </row>
    <row r="648" spans="1:30"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6"/>
      <c r="AA648" s="26"/>
      <c r="AB648" s="20"/>
      <c r="AC648" s="20"/>
      <c r="AD648" s="20"/>
    </row>
    <row r="649" spans="1:30"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6"/>
      <c r="AA649" s="26"/>
      <c r="AB649" s="20"/>
      <c r="AC649" s="20"/>
      <c r="AD649" s="20"/>
    </row>
    <row r="650" spans="1:30"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6"/>
      <c r="AA650" s="26"/>
      <c r="AB650" s="20"/>
      <c r="AC650" s="20"/>
      <c r="AD650" s="20"/>
    </row>
    <row r="651" spans="1:30"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6"/>
      <c r="AA651" s="26"/>
      <c r="AB651" s="20"/>
      <c r="AC651" s="20"/>
      <c r="AD651" s="20"/>
    </row>
    <row r="652" spans="1:30"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6"/>
      <c r="AA652" s="26"/>
      <c r="AB652" s="20"/>
      <c r="AC652" s="20"/>
      <c r="AD652" s="20"/>
    </row>
    <row r="653" spans="1:30"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6"/>
      <c r="AA653" s="26"/>
      <c r="AB653" s="20"/>
      <c r="AC653" s="20"/>
      <c r="AD653" s="20"/>
    </row>
    <row r="654" spans="1:30"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6"/>
      <c r="AA654" s="26"/>
      <c r="AB654" s="20"/>
      <c r="AC654" s="20"/>
      <c r="AD654" s="20"/>
    </row>
    <row r="655" spans="1:30"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6"/>
      <c r="AA655" s="26"/>
      <c r="AB655" s="20"/>
      <c r="AC655" s="20"/>
      <c r="AD655" s="20"/>
    </row>
    <row r="656" spans="1:30"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6"/>
      <c r="AA656" s="26"/>
      <c r="AB656" s="20"/>
      <c r="AC656" s="20"/>
      <c r="AD656" s="20"/>
    </row>
    <row r="657" spans="1:30"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6"/>
      <c r="AA657" s="26"/>
      <c r="AB657" s="20"/>
      <c r="AC657" s="20"/>
      <c r="AD657" s="20"/>
    </row>
    <row r="658" spans="1:30"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6"/>
      <c r="AA658" s="26"/>
      <c r="AB658" s="20"/>
      <c r="AC658" s="20"/>
      <c r="AD658" s="20"/>
    </row>
    <row r="659" spans="1:30"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6"/>
      <c r="AA659" s="26"/>
      <c r="AB659" s="20"/>
      <c r="AC659" s="20"/>
      <c r="AD659" s="20"/>
    </row>
    <row r="660" spans="1:30"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6"/>
      <c r="AA660" s="26"/>
      <c r="AB660" s="20"/>
      <c r="AC660" s="20"/>
      <c r="AD660" s="20"/>
    </row>
    <row r="661" spans="1:30"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6"/>
      <c r="AA661" s="26"/>
      <c r="AB661" s="20"/>
      <c r="AC661" s="20"/>
      <c r="AD661" s="20"/>
    </row>
    <row r="662" spans="1:30"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6"/>
      <c r="AA662" s="26"/>
      <c r="AB662" s="20"/>
      <c r="AC662" s="20"/>
      <c r="AD662" s="20"/>
    </row>
    <row r="663" spans="1:30"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6"/>
      <c r="AA663" s="26"/>
      <c r="AB663" s="20"/>
      <c r="AC663" s="20"/>
      <c r="AD663" s="20"/>
    </row>
    <row r="664" spans="1:30"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6"/>
      <c r="AA664" s="26"/>
      <c r="AB664" s="20"/>
      <c r="AC664" s="20"/>
      <c r="AD664" s="20"/>
    </row>
    <row r="665" spans="1:30"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6"/>
      <c r="AA665" s="26"/>
      <c r="AB665" s="20"/>
      <c r="AC665" s="20"/>
      <c r="AD665" s="20"/>
    </row>
    <row r="666" spans="1:30"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6"/>
      <c r="AA666" s="26"/>
      <c r="AB666" s="20"/>
      <c r="AC666" s="20"/>
      <c r="AD666" s="20"/>
    </row>
    <row r="667" spans="1:30"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6"/>
      <c r="AA667" s="26"/>
      <c r="AB667" s="20"/>
      <c r="AC667" s="20"/>
      <c r="AD667" s="20"/>
    </row>
    <row r="668" spans="1:30"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6"/>
      <c r="AA668" s="26"/>
      <c r="AB668" s="20"/>
      <c r="AC668" s="20"/>
      <c r="AD668" s="20"/>
    </row>
    <row r="669" spans="1:30"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6"/>
      <c r="AA669" s="26"/>
      <c r="AB669" s="20"/>
      <c r="AC669" s="20"/>
      <c r="AD669" s="20"/>
    </row>
    <row r="670" spans="1:30"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6"/>
      <c r="AA670" s="26"/>
      <c r="AB670" s="20"/>
      <c r="AC670" s="20"/>
      <c r="AD670" s="20"/>
    </row>
    <row r="671" spans="1:30"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6"/>
      <c r="AA671" s="26"/>
      <c r="AB671" s="20"/>
      <c r="AC671" s="20"/>
      <c r="AD671" s="20"/>
    </row>
    <row r="672" spans="1:30"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6"/>
      <c r="AA672" s="26"/>
      <c r="AB672" s="20"/>
      <c r="AC672" s="20"/>
      <c r="AD672" s="20"/>
    </row>
    <row r="673" spans="1:30"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6"/>
      <c r="AA673" s="26"/>
      <c r="AB673" s="20"/>
      <c r="AC673" s="20"/>
      <c r="AD673" s="20"/>
    </row>
    <row r="674" spans="1:30"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6"/>
      <c r="AA674" s="26"/>
      <c r="AB674" s="20"/>
      <c r="AC674" s="20"/>
      <c r="AD674" s="20"/>
    </row>
    <row r="675" spans="1:30"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6"/>
      <c r="AA675" s="26"/>
      <c r="AB675" s="20"/>
      <c r="AC675" s="20"/>
      <c r="AD675" s="20"/>
    </row>
    <row r="676" spans="1:30"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6"/>
      <c r="AA676" s="26"/>
      <c r="AB676" s="20"/>
      <c r="AC676" s="20"/>
      <c r="AD676" s="20"/>
    </row>
    <row r="677" spans="1:30"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6"/>
      <c r="AA677" s="26"/>
      <c r="AB677" s="20"/>
      <c r="AC677" s="20"/>
      <c r="AD677" s="20"/>
    </row>
    <row r="678" spans="1:30"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6"/>
      <c r="AA678" s="26"/>
      <c r="AB678" s="20"/>
      <c r="AC678" s="20"/>
      <c r="AD678" s="20"/>
    </row>
    <row r="679" spans="1:30"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6"/>
      <c r="AA679" s="26"/>
      <c r="AB679" s="20"/>
      <c r="AC679" s="20"/>
      <c r="AD679" s="20"/>
    </row>
    <row r="680" spans="1:30"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6"/>
      <c r="AA680" s="26"/>
      <c r="AB680" s="20"/>
      <c r="AC680" s="20"/>
      <c r="AD680" s="20"/>
    </row>
    <row r="681" spans="1:30"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6"/>
      <c r="AA681" s="26"/>
      <c r="AB681" s="20"/>
      <c r="AC681" s="20"/>
      <c r="AD681" s="20"/>
    </row>
    <row r="682" spans="1:30"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6"/>
      <c r="AA682" s="26"/>
      <c r="AB682" s="20"/>
      <c r="AC682" s="20"/>
      <c r="AD682" s="20"/>
    </row>
    <row r="683" spans="1:30"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6"/>
      <c r="AA683" s="26"/>
      <c r="AB683" s="20"/>
      <c r="AC683" s="20"/>
      <c r="AD683" s="20"/>
    </row>
    <row r="684" spans="1:30"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6"/>
      <c r="AA684" s="26"/>
      <c r="AB684" s="20"/>
      <c r="AC684" s="20"/>
      <c r="AD684" s="20"/>
    </row>
    <row r="685" spans="1:30"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6"/>
      <c r="AA685" s="26"/>
      <c r="AB685" s="20"/>
      <c r="AC685" s="20"/>
      <c r="AD685" s="20"/>
    </row>
    <row r="686" spans="1:30"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6"/>
      <c r="AA686" s="26"/>
      <c r="AB686" s="20"/>
      <c r="AC686" s="20"/>
      <c r="AD686" s="20"/>
    </row>
    <row r="687" spans="1:30"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6"/>
      <c r="AA687" s="26"/>
      <c r="AB687" s="20"/>
      <c r="AC687" s="20"/>
      <c r="AD687" s="20"/>
    </row>
    <row r="688" spans="1:30"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6"/>
      <c r="AA688" s="26"/>
      <c r="AB688" s="20"/>
      <c r="AC688" s="20"/>
      <c r="AD688" s="20"/>
    </row>
    <row r="689" spans="1:30"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6"/>
      <c r="AA689" s="26"/>
      <c r="AB689" s="20"/>
      <c r="AC689" s="20"/>
      <c r="AD689" s="20"/>
    </row>
    <row r="690" spans="1:30"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6"/>
      <c r="AA690" s="26"/>
      <c r="AB690" s="20"/>
      <c r="AC690" s="20"/>
      <c r="AD690" s="20"/>
    </row>
    <row r="691" spans="1:30"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6"/>
      <c r="AA691" s="26"/>
      <c r="AB691" s="20"/>
      <c r="AC691" s="20"/>
      <c r="AD691" s="20"/>
    </row>
    <row r="692" spans="1:30"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6"/>
      <c r="AA692" s="26"/>
      <c r="AB692" s="20"/>
      <c r="AC692" s="20"/>
      <c r="AD692" s="20"/>
    </row>
    <row r="693" spans="1:30"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6"/>
      <c r="AA693" s="26"/>
      <c r="AB693" s="20"/>
      <c r="AC693" s="20"/>
      <c r="AD693" s="20"/>
    </row>
    <row r="694" spans="1:30"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6"/>
      <c r="AA694" s="26"/>
      <c r="AB694" s="20"/>
      <c r="AC694" s="20"/>
      <c r="AD694" s="20"/>
    </row>
    <row r="695" spans="1:30"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6"/>
      <c r="AA695" s="26"/>
      <c r="AB695" s="20"/>
      <c r="AC695" s="20"/>
      <c r="AD695" s="20"/>
    </row>
    <row r="696" spans="1:30"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6"/>
      <c r="AA696" s="26"/>
      <c r="AB696" s="20"/>
      <c r="AC696" s="20"/>
      <c r="AD696" s="20"/>
    </row>
    <row r="697" spans="1:30"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6"/>
      <c r="AA697" s="26"/>
      <c r="AB697" s="20"/>
      <c r="AC697" s="20"/>
      <c r="AD697" s="20"/>
    </row>
    <row r="698" spans="1:30"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6"/>
      <c r="AA698" s="26"/>
      <c r="AB698" s="20"/>
      <c r="AC698" s="20"/>
      <c r="AD698" s="20"/>
    </row>
    <row r="699" spans="1:30"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6"/>
      <c r="AA699" s="26"/>
      <c r="AB699" s="20"/>
      <c r="AC699" s="20"/>
      <c r="AD699" s="20"/>
    </row>
    <row r="700" spans="1:30"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6"/>
      <c r="AA700" s="26"/>
      <c r="AB700" s="20"/>
      <c r="AC700" s="20"/>
      <c r="AD700" s="20"/>
    </row>
    <row r="701" spans="1:30"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6"/>
      <c r="AA701" s="26"/>
      <c r="AB701" s="20"/>
      <c r="AC701" s="20"/>
      <c r="AD701" s="20"/>
    </row>
    <row r="702" spans="1:30"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6"/>
      <c r="AA702" s="26"/>
      <c r="AB702" s="20"/>
      <c r="AC702" s="20"/>
      <c r="AD702" s="20"/>
    </row>
    <row r="703" spans="1:30"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6"/>
      <c r="AA703" s="26"/>
      <c r="AB703" s="20"/>
      <c r="AC703" s="20"/>
      <c r="AD703" s="20"/>
    </row>
    <row r="704" spans="1:30"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6"/>
      <c r="AA704" s="26"/>
      <c r="AB704" s="20"/>
      <c r="AC704" s="20"/>
      <c r="AD704" s="20"/>
    </row>
    <row r="705" spans="1:30"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6"/>
      <c r="AA705" s="26"/>
      <c r="AB705" s="20"/>
      <c r="AC705" s="20"/>
      <c r="AD705" s="20"/>
    </row>
    <row r="706" spans="1:30"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6"/>
      <c r="AA706" s="26"/>
      <c r="AB706" s="20"/>
      <c r="AC706" s="20"/>
      <c r="AD706" s="20"/>
    </row>
    <row r="707" spans="1:30"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6"/>
      <c r="AA707" s="26"/>
      <c r="AB707" s="20"/>
      <c r="AC707" s="20"/>
      <c r="AD707" s="20"/>
    </row>
    <row r="708" spans="1:30"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6"/>
      <c r="AA708" s="26"/>
      <c r="AB708" s="20"/>
      <c r="AC708" s="20"/>
      <c r="AD708" s="20"/>
    </row>
    <row r="709" spans="1:30"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6"/>
      <c r="AA709" s="26"/>
      <c r="AB709" s="20"/>
      <c r="AC709" s="20"/>
      <c r="AD709" s="20"/>
    </row>
    <row r="710" spans="1:30"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6"/>
      <c r="AA710" s="26"/>
      <c r="AB710" s="20"/>
      <c r="AC710" s="20"/>
      <c r="AD710" s="20"/>
    </row>
    <row r="711" spans="1:30"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6"/>
      <c r="AA711" s="26"/>
      <c r="AB711" s="20"/>
      <c r="AC711" s="20"/>
      <c r="AD711" s="20"/>
    </row>
    <row r="712" spans="1:30"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6"/>
      <c r="AA712" s="26"/>
      <c r="AB712" s="20"/>
      <c r="AC712" s="20"/>
      <c r="AD712" s="20"/>
    </row>
    <row r="713" spans="1:30"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6"/>
      <c r="AA713" s="26"/>
      <c r="AB713" s="20"/>
      <c r="AC713" s="20"/>
      <c r="AD713" s="20"/>
    </row>
    <row r="714" spans="1:30"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6"/>
      <c r="AA714" s="26"/>
      <c r="AB714" s="20"/>
      <c r="AC714" s="20"/>
      <c r="AD714" s="20"/>
    </row>
    <row r="715" spans="1:30"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6"/>
      <c r="AA715" s="26"/>
      <c r="AB715" s="20"/>
      <c r="AC715" s="20"/>
      <c r="AD715" s="20"/>
    </row>
    <row r="716" spans="1:30"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6"/>
      <c r="AA716" s="26"/>
      <c r="AB716" s="20"/>
      <c r="AC716" s="20"/>
      <c r="AD716" s="20"/>
    </row>
    <row r="717" spans="1:30"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6"/>
      <c r="AA717" s="26"/>
      <c r="AB717" s="20"/>
      <c r="AC717" s="20"/>
      <c r="AD717" s="20"/>
    </row>
    <row r="718" spans="1:30"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6"/>
      <c r="AA718" s="26"/>
      <c r="AB718" s="20"/>
      <c r="AC718" s="20"/>
      <c r="AD718" s="20"/>
    </row>
    <row r="719" spans="1:30"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6"/>
      <c r="AA719" s="26"/>
      <c r="AB719" s="20"/>
      <c r="AC719" s="20"/>
      <c r="AD719" s="20"/>
    </row>
    <row r="720" spans="1:30"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6"/>
      <c r="AA720" s="26"/>
      <c r="AB720" s="20"/>
      <c r="AC720" s="20"/>
      <c r="AD720" s="20"/>
    </row>
    <row r="721" spans="1:30"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6"/>
      <c r="AA721" s="26"/>
      <c r="AB721" s="20"/>
      <c r="AC721" s="20"/>
      <c r="AD721" s="20"/>
    </row>
    <row r="722" spans="1:30"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6"/>
      <c r="AA722" s="26"/>
      <c r="AB722" s="20"/>
      <c r="AC722" s="20"/>
      <c r="AD722" s="20"/>
    </row>
    <row r="723" spans="1:30"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6"/>
      <c r="AA723" s="26"/>
      <c r="AB723" s="20"/>
      <c r="AC723" s="20"/>
      <c r="AD723" s="20"/>
    </row>
    <row r="724" spans="1:30"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6"/>
      <c r="AA724" s="26"/>
      <c r="AB724" s="20"/>
      <c r="AC724" s="20"/>
      <c r="AD724" s="20"/>
    </row>
    <row r="725" spans="1:30"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6"/>
      <c r="AA725" s="26"/>
      <c r="AB725" s="20"/>
      <c r="AC725" s="20"/>
      <c r="AD725" s="20"/>
    </row>
    <row r="726" spans="1:30"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6"/>
      <c r="AA726" s="26"/>
      <c r="AB726" s="20"/>
      <c r="AC726" s="20"/>
      <c r="AD726" s="20"/>
    </row>
    <row r="727" spans="1:30"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6"/>
      <c r="AA727" s="26"/>
      <c r="AB727" s="20"/>
      <c r="AC727" s="20"/>
      <c r="AD727" s="20"/>
    </row>
    <row r="728" spans="1:30"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6"/>
      <c r="AA728" s="26"/>
      <c r="AB728" s="20"/>
      <c r="AC728" s="20"/>
      <c r="AD728" s="20"/>
    </row>
    <row r="729" spans="1:30"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6"/>
      <c r="AA729" s="26"/>
      <c r="AB729" s="20"/>
      <c r="AC729" s="20"/>
      <c r="AD729" s="20"/>
    </row>
    <row r="730" spans="1:30"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6"/>
      <c r="AA730" s="26"/>
      <c r="AB730" s="20"/>
      <c r="AC730" s="20"/>
      <c r="AD730" s="20"/>
    </row>
    <row r="731" spans="1:30"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6"/>
      <c r="AA731" s="26"/>
      <c r="AB731" s="20"/>
      <c r="AC731" s="20"/>
      <c r="AD731" s="20"/>
    </row>
    <row r="732" spans="1:30"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6"/>
      <c r="AA732" s="26"/>
      <c r="AB732" s="20"/>
      <c r="AC732" s="20"/>
      <c r="AD732" s="20"/>
    </row>
    <row r="733" spans="1:30"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6"/>
      <c r="AA733" s="26"/>
      <c r="AB733" s="20"/>
      <c r="AC733" s="20"/>
      <c r="AD733" s="20"/>
    </row>
    <row r="734" spans="1:30"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6"/>
      <c r="AA734" s="26"/>
      <c r="AB734" s="20"/>
      <c r="AC734" s="20"/>
      <c r="AD734" s="20"/>
    </row>
    <row r="735" spans="1:30"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6"/>
      <c r="AA735" s="26"/>
      <c r="AB735" s="20"/>
      <c r="AC735" s="20"/>
      <c r="AD735" s="20"/>
    </row>
    <row r="736" spans="1:30"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6"/>
      <c r="AA736" s="26"/>
      <c r="AB736" s="20"/>
      <c r="AC736" s="20"/>
      <c r="AD736" s="20"/>
    </row>
    <row r="737" spans="1:30"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6"/>
      <c r="AA737" s="26"/>
      <c r="AB737" s="20"/>
      <c r="AC737" s="20"/>
      <c r="AD737" s="20"/>
    </row>
    <row r="738" spans="1:30"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6"/>
      <c r="AA738" s="26"/>
      <c r="AB738" s="20"/>
      <c r="AC738" s="20"/>
      <c r="AD738" s="20"/>
    </row>
    <row r="739" spans="1:30"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6"/>
      <c r="AA739" s="26"/>
      <c r="AB739" s="20"/>
      <c r="AC739" s="20"/>
      <c r="AD739" s="20"/>
    </row>
    <row r="740" spans="1:30"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6"/>
      <c r="AA740" s="26"/>
      <c r="AB740" s="20"/>
      <c r="AC740" s="20"/>
      <c r="AD740" s="20"/>
    </row>
    <row r="741" spans="1:30"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6"/>
      <c r="AA741" s="26"/>
      <c r="AB741" s="20"/>
      <c r="AC741" s="20"/>
      <c r="AD741" s="20"/>
    </row>
    <row r="742" spans="1:30"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6"/>
      <c r="AA742" s="26"/>
      <c r="AB742" s="20"/>
      <c r="AC742" s="20"/>
      <c r="AD742" s="20"/>
    </row>
    <row r="743" spans="1:30"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6"/>
      <c r="AA743" s="26"/>
      <c r="AB743" s="20"/>
      <c r="AC743" s="20"/>
      <c r="AD743" s="20"/>
    </row>
    <row r="744" spans="1:30"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6"/>
      <c r="AA744" s="26"/>
      <c r="AB744" s="20"/>
      <c r="AC744" s="20"/>
      <c r="AD744" s="20"/>
    </row>
    <row r="745" spans="1:30"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6"/>
      <c r="AA745" s="26"/>
      <c r="AB745" s="20"/>
      <c r="AC745" s="20"/>
      <c r="AD745" s="20"/>
    </row>
    <row r="746" spans="1:30"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6"/>
      <c r="AA746" s="26"/>
      <c r="AB746" s="20"/>
      <c r="AC746" s="20"/>
      <c r="AD746" s="20"/>
    </row>
    <row r="747" spans="1:30"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6"/>
      <c r="AA747" s="26"/>
      <c r="AB747" s="20"/>
      <c r="AC747" s="20"/>
      <c r="AD747" s="20"/>
    </row>
    <row r="748" spans="1:30"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6"/>
      <c r="AA748" s="26"/>
      <c r="AB748" s="20"/>
      <c r="AC748" s="20"/>
      <c r="AD748" s="20"/>
    </row>
    <row r="749" spans="1:30"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6"/>
      <c r="AA749" s="26"/>
      <c r="AB749" s="20"/>
      <c r="AC749" s="20"/>
      <c r="AD749" s="20"/>
    </row>
    <row r="750" spans="1:30"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6"/>
      <c r="AA750" s="26"/>
      <c r="AB750" s="20"/>
      <c r="AC750" s="20"/>
      <c r="AD750" s="20"/>
    </row>
    <row r="751" spans="1:30"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6"/>
      <c r="AA751" s="26"/>
      <c r="AB751" s="20"/>
      <c r="AC751" s="20"/>
      <c r="AD751" s="20"/>
    </row>
    <row r="752" spans="1:30"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6"/>
      <c r="AA752" s="26"/>
      <c r="AB752" s="20"/>
      <c r="AC752" s="20"/>
      <c r="AD752" s="20"/>
    </row>
    <row r="753" spans="1:30"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6"/>
      <c r="AA753" s="26"/>
      <c r="AB753" s="20"/>
      <c r="AC753" s="20"/>
      <c r="AD753" s="20"/>
    </row>
    <row r="754" spans="1:30"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6"/>
      <c r="AA754" s="26"/>
      <c r="AB754" s="20"/>
      <c r="AC754" s="20"/>
      <c r="AD754" s="20"/>
    </row>
    <row r="755" spans="1:30"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6"/>
      <c r="AA755" s="26"/>
      <c r="AB755" s="20"/>
      <c r="AC755" s="20"/>
      <c r="AD755" s="20"/>
    </row>
    <row r="756" spans="1:30"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6"/>
      <c r="AA756" s="26"/>
      <c r="AB756" s="20"/>
      <c r="AC756" s="20"/>
      <c r="AD756" s="20"/>
    </row>
    <row r="757" spans="1:30"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6"/>
      <c r="AA757" s="26"/>
      <c r="AB757" s="20"/>
      <c r="AC757" s="20"/>
      <c r="AD757" s="20"/>
    </row>
    <row r="758" spans="1:30"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6"/>
      <c r="AA758" s="26"/>
      <c r="AB758" s="20"/>
      <c r="AC758" s="20"/>
      <c r="AD758" s="20"/>
    </row>
    <row r="759" spans="1:30"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6"/>
      <c r="AA759" s="26"/>
      <c r="AB759" s="20"/>
      <c r="AC759" s="20"/>
      <c r="AD759" s="20"/>
    </row>
    <row r="760" spans="1:30"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6"/>
      <c r="AA760" s="26"/>
      <c r="AB760" s="20"/>
      <c r="AC760" s="20"/>
      <c r="AD760" s="20"/>
    </row>
    <row r="761" spans="1:30"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6"/>
      <c r="AA761" s="26"/>
      <c r="AB761" s="20"/>
      <c r="AC761" s="20"/>
      <c r="AD761" s="20"/>
    </row>
    <row r="762" spans="1:30"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6"/>
      <c r="AA762" s="26"/>
      <c r="AB762" s="20"/>
      <c r="AC762" s="20"/>
      <c r="AD762" s="20"/>
    </row>
    <row r="763" spans="1:30"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6"/>
      <c r="AA763" s="26"/>
      <c r="AB763" s="20"/>
      <c r="AC763" s="20"/>
      <c r="AD763" s="20"/>
    </row>
    <row r="764" spans="1:30"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6"/>
      <c r="AA764" s="26"/>
      <c r="AB764" s="20"/>
      <c r="AC764" s="20"/>
      <c r="AD764" s="20"/>
    </row>
    <row r="765" spans="1:30"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6"/>
      <c r="AA765" s="26"/>
      <c r="AB765" s="20"/>
      <c r="AC765" s="20"/>
      <c r="AD765" s="20"/>
    </row>
    <row r="766" spans="1:30"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6"/>
      <c r="AA766" s="26"/>
      <c r="AB766" s="20"/>
      <c r="AC766" s="20"/>
      <c r="AD766" s="20"/>
    </row>
    <row r="767" spans="1:30"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6"/>
      <c r="AA767" s="26"/>
      <c r="AB767" s="20"/>
      <c r="AC767" s="20"/>
      <c r="AD767" s="20"/>
    </row>
    <row r="768" spans="1:30"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6"/>
      <c r="AA768" s="26"/>
      <c r="AB768" s="20"/>
      <c r="AC768" s="20"/>
      <c r="AD768" s="20"/>
    </row>
    <row r="769" spans="1:30"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6"/>
      <c r="AA769" s="26"/>
      <c r="AB769" s="20"/>
      <c r="AC769" s="20"/>
      <c r="AD769" s="20"/>
    </row>
    <row r="770" spans="1:30"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6"/>
      <c r="AA770" s="26"/>
      <c r="AB770" s="20"/>
      <c r="AC770" s="20"/>
      <c r="AD770" s="20"/>
    </row>
    <row r="771" spans="1:30"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6"/>
      <c r="AA771" s="26"/>
      <c r="AB771" s="20"/>
      <c r="AC771" s="20"/>
      <c r="AD771" s="20"/>
    </row>
    <row r="772" spans="1:30"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6"/>
      <c r="AA772" s="26"/>
      <c r="AB772" s="20"/>
      <c r="AC772" s="20"/>
      <c r="AD772" s="20"/>
    </row>
    <row r="773" spans="1:30"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6"/>
      <c r="AA773" s="26"/>
      <c r="AB773" s="20"/>
      <c r="AC773" s="20"/>
      <c r="AD773" s="20"/>
    </row>
    <row r="774" spans="1:30"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6"/>
      <c r="AA774" s="26"/>
      <c r="AB774" s="20"/>
      <c r="AC774" s="20"/>
      <c r="AD774" s="20"/>
    </row>
    <row r="775" spans="1:30"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6"/>
      <c r="AA775" s="26"/>
      <c r="AB775" s="20"/>
      <c r="AC775" s="20"/>
      <c r="AD775" s="20"/>
    </row>
    <row r="776" spans="1:30"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6"/>
      <c r="AA776" s="26"/>
      <c r="AB776" s="20"/>
      <c r="AC776" s="20"/>
      <c r="AD776" s="20"/>
    </row>
    <row r="777" spans="1:30"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6"/>
      <c r="AA777" s="26"/>
      <c r="AB777" s="20"/>
      <c r="AC777" s="20"/>
      <c r="AD777" s="20"/>
    </row>
    <row r="778" spans="1:30"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6"/>
      <c r="AA778" s="26"/>
      <c r="AB778" s="20"/>
      <c r="AC778" s="20"/>
      <c r="AD778" s="20"/>
    </row>
    <row r="779" spans="1:30"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6"/>
      <c r="AA779" s="26"/>
      <c r="AB779" s="20"/>
      <c r="AC779" s="20"/>
      <c r="AD779" s="20"/>
    </row>
    <row r="780" spans="1:30"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6"/>
      <c r="AA780" s="26"/>
      <c r="AB780" s="20"/>
      <c r="AC780" s="20"/>
      <c r="AD780" s="20"/>
    </row>
    <row r="781" spans="1:30"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6"/>
      <c r="AA781" s="26"/>
      <c r="AB781" s="20"/>
      <c r="AC781" s="20"/>
      <c r="AD781" s="20"/>
    </row>
    <row r="782" spans="1:30"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6"/>
      <c r="AA782" s="26"/>
      <c r="AB782" s="20"/>
      <c r="AC782" s="20"/>
      <c r="AD782" s="20"/>
    </row>
    <row r="783" spans="1:30"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6"/>
      <c r="AA783" s="26"/>
      <c r="AB783" s="20"/>
      <c r="AC783" s="20"/>
      <c r="AD783" s="20"/>
    </row>
    <row r="784" spans="1:30"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6"/>
      <c r="AA784" s="26"/>
      <c r="AB784" s="20"/>
      <c r="AC784" s="20"/>
      <c r="AD784" s="20"/>
    </row>
    <row r="785" spans="1:30"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6"/>
      <c r="AA785" s="26"/>
      <c r="AB785" s="20"/>
      <c r="AC785" s="20"/>
      <c r="AD785" s="20"/>
    </row>
    <row r="786" spans="1:30"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6"/>
      <c r="AA786" s="26"/>
      <c r="AB786" s="20"/>
      <c r="AC786" s="20"/>
      <c r="AD786" s="20"/>
    </row>
    <row r="787" spans="1:30"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6"/>
      <c r="AA787" s="26"/>
      <c r="AB787" s="20"/>
      <c r="AC787" s="20"/>
      <c r="AD787" s="20"/>
    </row>
    <row r="788" spans="1:30"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6"/>
      <c r="AA788" s="26"/>
      <c r="AB788" s="20"/>
      <c r="AC788" s="20"/>
      <c r="AD788" s="20"/>
    </row>
    <row r="789" spans="1:30"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6"/>
      <c r="AA789" s="26"/>
      <c r="AB789" s="20"/>
      <c r="AC789" s="20"/>
      <c r="AD789" s="20"/>
    </row>
    <row r="790" spans="1:30"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6"/>
      <c r="AA790" s="26"/>
      <c r="AB790" s="20"/>
      <c r="AC790" s="20"/>
      <c r="AD790" s="20"/>
    </row>
    <row r="791" spans="1:30"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6"/>
      <c r="AA791" s="26"/>
      <c r="AB791" s="20"/>
      <c r="AC791" s="20"/>
      <c r="AD791" s="20"/>
    </row>
    <row r="792" spans="1:30"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6"/>
      <c r="AA792" s="26"/>
      <c r="AB792" s="20"/>
      <c r="AC792" s="20"/>
      <c r="AD792" s="20"/>
    </row>
    <row r="793" spans="1:30"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6"/>
      <c r="AA793" s="26"/>
      <c r="AB793" s="20"/>
      <c r="AC793" s="20"/>
      <c r="AD793" s="20"/>
    </row>
    <row r="794" spans="1:30"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6"/>
      <c r="AA794" s="26"/>
      <c r="AB794" s="20"/>
      <c r="AC794" s="20"/>
      <c r="AD794" s="20"/>
    </row>
    <row r="795" spans="1:30"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6"/>
      <c r="AA795" s="26"/>
      <c r="AB795" s="20"/>
      <c r="AC795" s="20"/>
      <c r="AD795" s="20"/>
    </row>
    <row r="796" spans="1:30"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6"/>
      <c r="AA796" s="26"/>
      <c r="AB796" s="20"/>
      <c r="AC796" s="20"/>
      <c r="AD796" s="20"/>
    </row>
    <row r="797" spans="1:30"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6"/>
      <c r="AA797" s="26"/>
      <c r="AB797" s="20"/>
      <c r="AC797" s="20"/>
      <c r="AD797" s="20"/>
    </row>
    <row r="798" spans="1:30"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6"/>
      <c r="AA798" s="26"/>
      <c r="AB798" s="20"/>
      <c r="AC798" s="20"/>
      <c r="AD798" s="20"/>
    </row>
    <row r="799" spans="1:30"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6"/>
      <c r="AA799" s="26"/>
      <c r="AB799" s="20"/>
      <c r="AC799" s="20"/>
      <c r="AD799" s="20"/>
    </row>
    <row r="800" spans="1:30"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6"/>
      <c r="AA800" s="26"/>
      <c r="AB800" s="20"/>
      <c r="AC800" s="20"/>
      <c r="AD800" s="20"/>
    </row>
    <row r="801" spans="1:30"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6"/>
      <c r="AA801" s="26"/>
      <c r="AB801" s="20"/>
      <c r="AC801" s="20"/>
      <c r="AD801" s="20"/>
    </row>
    <row r="802" spans="1:30"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6"/>
      <c r="AA802" s="26"/>
      <c r="AB802" s="20"/>
      <c r="AC802" s="20"/>
      <c r="AD802" s="20"/>
    </row>
    <row r="803" spans="1:30"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6"/>
      <c r="AA803" s="26"/>
      <c r="AB803" s="20"/>
      <c r="AC803" s="20"/>
      <c r="AD803" s="20"/>
    </row>
    <row r="804" spans="1:30"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6"/>
      <c r="AA804" s="26"/>
      <c r="AB804" s="20"/>
      <c r="AC804" s="20"/>
      <c r="AD804" s="20"/>
    </row>
    <row r="805" spans="1:30"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6"/>
      <c r="AA805" s="26"/>
      <c r="AB805" s="20"/>
      <c r="AC805" s="20"/>
      <c r="AD805" s="20"/>
    </row>
    <row r="806" spans="1:30"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6"/>
      <c r="AA806" s="26"/>
      <c r="AB806" s="20"/>
      <c r="AC806" s="20"/>
      <c r="AD806" s="20"/>
    </row>
    <row r="807" spans="1:30"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6"/>
      <c r="AA807" s="26"/>
      <c r="AB807" s="20"/>
      <c r="AC807" s="20"/>
      <c r="AD807" s="20"/>
    </row>
    <row r="808" spans="1:30"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6"/>
      <c r="AA808" s="26"/>
      <c r="AB808" s="20"/>
      <c r="AC808" s="20"/>
      <c r="AD808" s="20"/>
    </row>
    <row r="809" spans="1:30"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6"/>
      <c r="AA809" s="26"/>
      <c r="AB809" s="20"/>
      <c r="AC809" s="20"/>
      <c r="AD809" s="20"/>
    </row>
    <row r="810" spans="1:30"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6"/>
      <c r="AA810" s="26"/>
      <c r="AB810" s="20"/>
      <c r="AC810" s="20"/>
      <c r="AD810" s="20"/>
    </row>
    <row r="811" spans="1:30"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6"/>
      <c r="AA811" s="26"/>
      <c r="AB811" s="20"/>
      <c r="AC811" s="20"/>
      <c r="AD811" s="20"/>
    </row>
    <row r="812" spans="1:30"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6"/>
      <c r="AA812" s="26"/>
      <c r="AB812" s="20"/>
      <c r="AC812" s="20"/>
      <c r="AD812" s="20"/>
    </row>
    <row r="813" spans="1:30"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6"/>
      <c r="AA813" s="26"/>
      <c r="AB813" s="20"/>
      <c r="AC813" s="20"/>
      <c r="AD813" s="20"/>
    </row>
    <row r="814" spans="1:30"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6"/>
      <c r="AA814" s="26"/>
      <c r="AB814" s="20"/>
      <c r="AC814" s="20"/>
      <c r="AD814" s="20"/>
    </row>
    <row r="815" spans="1:30"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6"/>
      <c r="AA815" s="26"/>
      <c r="AB815" s="20"/>
      <c r="AC815" s="20"/>
      <c r="AD815" s="20"/>
    </row>
    <row r="816" spans="1:30"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6"/>
      <c r="AA816" s="26"/>
      <c r="AB816" s="20"/>
      <c r="AC816" s="20"/>
      <c r="AD816" s="20"/>
    </row>
    <row r="817" spans="1:30"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6"/>
      <c r="AA817" s="26"/>
      <c r="AB817" s="20"/>
      <c r="AC817" s="20"/>
      <c r="AD817" s="20"/>
    </row>
    <row r="818" spans="1:30"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6"/>
      <c r="AA818" s="26"/>
      <c r="AB818" s="20"/>
      <c r="AC818" s="20"/>
      <c r="AD818" s="20"/>
    </row>
    <row r="819" spans="1:30"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6"/>
      <c r="AA819" s="26"/>
      <c r="AB819" s="20"/>
      <c r="AC819" s="20"/>
      <c r="AD819" s="20"/>
    </row>
    <row r="820" spans="1:30"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6"/>
      <c r="AA820" s="26"/>
      <c r="AB820" s="20"/>
      <c r="AC820" s="20"/>
      <c r="AD820" s="20"/>
    </row>
    <row r="821" spans="1:30"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6"/>
      <c r="AA821" s="26"/>
      <c r="AB821" s="20"/>
      <c r="AC821" s="20"/>
      <c r="AD821" s="20"/>
    </row>
    <row r="822" spans="1:30"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6"/>
      <c r="AA822" s="26"/>
      <c r="AB822" s="20"/>
      <c r="AC822" s="20"/>
      <c r="AD822" s="20"/>
    </row>
    <row r="823" spans="1:30"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6"/>
      <c r="AA823" s="26"/>
      <c r="AB823" s="20"/>
      <c r="AC823" s="20"/>
      <c r="AD823" s="20"/>
    </row>
    <row r="824" spans="1:30"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6"/>
      <c r="AA824" s="26"/>
      <c r="AB824" s="20"/>
      <c r="AC824" s="20"/>
      <c r="AD824" s="20"/>
    </row>
    <row r="825" spans="1:30"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6"/>
      <c r="AA825" s="26"/>
      <c r="AB825" s="20"/>
      <c r="AC825" s="20"/>
      <c r="AD825" s="20"/>
    </row>
    <row r="826" spans="1:30"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6"/>
      <c r="AA826" s="26"/>
      <c r="AB826" s="20"/>
      <c r="AC826" s="20"/>
      <c r="AD826" s="20"/>
    </row>
    <row r="827" spans="1:30"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6"/>
      <c r="AA827" s="26"/>
      <c r="AB827" s="20"/>
      <c r="AC827" s="20"/>
      <c r="AD827" s="20"/>
    </row>
    <row r="828" spans="1:30"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6"/>
      <c r="AA828" s="26"/>
      <c r="AB828" s="20"/>
      <c r="AC828" s="20"/>
      <c r="AD828" s="20"/>
    </row>
    <row r="829" spans="1:30"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6"/>
      <c r="AA829" s="26"/>
      <c r="AB829" s="20"/>
      <c r="AC829" s="20"/>
      <c r="AD829" s="20"/>
    </row>
    <row r="830" spans="1:30"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6"/>
      <c r="AA830" s="26"/>
      <c r="AB830" s="20"/>
      <c r="AC830" s="20"/>
      <c r="AD830" s="20"/>
    </row>
    <row r="831" spans="1:30"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6"/>
      <c r="AA831" s="26"/>
      <c r="AB831" s="20"/>
      <c r="AC831" s="20"/>
      <c r="AD831" s="20"/>
    </row>
    <row r="832" spans="1:30"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6"/>
      <c r="AA832" s="26"/>
      <c r="AB832" s="20"/>
      <c r="AC832" s="20"/>
      <c r="AD832" s="20"/>
    </row>
    <row r="833" spans="1:30"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6"/>
      <c r="AA833" s="26"/>
      <c r="AB833" s="20"/>
      <c r="AC833" s="20"/>
      <c r="AD833" s="20"/>
    </row>
    <row r="834" spans="1:30"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6"/>
      <c r="AA834" s="26"/>
      <c r="AB834" s="20"/>
      <c r="AC834" s="20"/>
      <c r="AD834" s="20"/>
    </row>
    <row r="835" spans="1:30"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6"/>
      <c r="AA835" s="26"/>
      <c r="AB835" s="20"/>
      <c r="AC835" s="20"/>
      <c r="AD835" s="20"/>
    </row>
    <row r="836" spans="1:30"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6"/>
      <c r="AA836" s="26"/>
      <c r="AB836" s="20"/>
      <c r="AC836" s="20"/>
      <c r="AD836" s="20"/>
    </row>
    <row r="837" spans="1:30"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6"/>
      <c r="AA837" s="26"/>
      <c r="AB837" s="20"/>
      <c r="AC837" s="20"/>
      <c r="AD837" s="20"/>
    </row>
    <row r="838" spans="1:30"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6"/>
      <c r="AA838" s="26"/>
      <c r="AB838" s="20"/>
      <c r="AC838" s="20"/>
      <c r="AD838" s="20"/>
    </row>
    <row r="839" spans="1:30"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6"/>
      <c r="AA839" s="26"/>
      <c r="AB839" s="20"/>
      <c r="AC839" s="20"/>
      <c r="AD839" s="20"/>
    </row>
    <row r="840" spans="1:30"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6"/>
      <c r="AA840" s="26"/>
      <c r="AB840" s="20"/>
      <c r="AC840" s="20"/>
      <c r="AD840" s="20"/>
    </row>
    <row r="841" spans="1:30"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6"/>
      <c r="AA841" s="26"/>
      <c r="AB841" s="20"/>
      <c r="AC841" s="20"/>
      <c r="AD841" s="20"/>
    </row>
    <row r="842" spans="1:30"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6"/>
      <c r="AA842" s="26"/>
      <c r="AB842" s="20"/>
      <c r="AC842" s="20"/>
      <c r="AD842" s="20"/>
    </row>
    <row r="843" spans="1:30"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6"/>
      <c r="AA843" s="26"/>
      <c r="AB843" s="20"/>
      <c r="AC843" s="20"/>
      <c r="AD843" s="20"/>
    </row>
    <row r="844" spans="1:30"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6"/>
      <c r="AA844" s="26"/>
      <c r="AB844" s="20"/>
      <c r="AC844" s="20"/>
      <c r="AD844" s="20"/>
    </row>
    <row r="845" spans="1:30"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6"/>
      <c r="AA845" s="26"/>
      <c r="AB845" s="20"/>
      <c r="AC845" s="20"/>
      <c r="AD845" s="20"/>
    </row>
    <row r="846" spans="1:30"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6"/>
      <c r="AA846" s="26"/>
      <c r="AB846" s="20"/>
      <c r="AC846" s="20"/>
      <c r="AD846" s="20"/>
    </row>
    <row r="847" spans="1:30"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6"/>
      <c r="AA847" s="26"/>
      <c r="AB847" s="20"/>
      <c r="AC847" s="20"/>
      <c r="AD847" s="20"/>
    </row>
    <row r="848" spans="1:30"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6"/>
      <c r="AA848" s="26"/>
      <c r="AB848" s="20"/>
      <c r="AC848" s="20"/>
      <c r="AD848" s="20"/>
    </row>
    <row r="849" spans="1:30"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6"/>
      <c r="AA849" s="26"/>
      <c r="AB849" s="20"/>
      <c r="AC849" s="20"/>
      <c r="AD849" s="20"/>
    </row>
    <row r="850" spans="1:30"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6"/>
      <c r="AA850" s="26"/>
      <c r="AB850" s="20"/>
      <c r="AC850" s="20"/>
      <c r="AD850" s="20"/>
    </row>
    <row r="851" spans="1:30"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6"/>
      <c r="AA851" s="26"/>
      <c r="AB851" s="20"/>
      <c r="AC851" s="20"/>
      <c r="AD851" s="20"/>
    </row>
    <row r="852" spans="1:30"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6"/>
      <c r="AA852" s="26"/>
      <c r="AB852" s="20"/>
      <c r="AC852" s="20"/>
      <c r="AD852" s="20"/>
    </row>
    <row r="853" spans="1:30"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6"/>
      <c r="AA853" s="26"/>
      <c r="AB853" s="20"/>
      <c r="AC853" s="20"/>
      <c r="AD853" s="20"/>
    </row>
    <row r="854" spans="1:30"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6"/>
      <c r="AA854" s="26"/>
      <c r="AB854" s="20"/>
      <c r="AC854" s="20"/>
      <c r="AD854" s="20"/>
    </row>
    <row r="855" spans="1:30"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6"/>
      <c r="AA855" s="26"/>
      <c r="AB855" s="20"/>
      <c r="AC855" s="20"/>
      <c r="AD855" s="20"/>
    </row>
    <row r="856" spans="1:30"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6"/>
      <c r="AA856" s="26"/>
      <c r="AB856" s="20"/>
      <c r="AC856" s="20"/>
      <c r="AD856" s="20"/>
    </row>
    <row r="857" spans="1:30"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6"/>
      <c r="AA857" s="26"/>
      <c r="AB857" s="20"/>
      <c r="AC857" s="20"/>
      <c r="AD857" s="20"/>
    </row>
    <row r="858" spans="1:30"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6"/>
      <c r="AA858" s="26"/>
      <c r="AB858" s="20"/>
      <c r="AC858" s="20"/>
      <c r="AD858" s="20"/>
    </row>
    <row r="859" spans="1:30"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6"/>
      <c r="AA859" s="26"/>
      <c r="AB859" s="20"/>
      <c r="AC859" s="20"/>
      <c r="AD859" s="20"/>
    </row>
    <row r="860" spans="1:30"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6"/>
      <c r="AA860" s="26"/>
      <c r="AB860" s="20"/>
      <c r="AC860" s="20"/>
      <c r="AD860" s="20"/>
    </row>
    <row r="861" spans="1:30"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6"/>
      <c r="AA861" s="26"/>
      <c r="AB861" s="20"/>
      <c r="AC861" s="20"/>
      <c r="AD861" s="20"/>
    </row>
    <row r="862" spans="1:30"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6"/>
      <c r="AA862" s="26"/>
      <c r="AB862" s="20"/>
      <c r="AC862" s="20"/>
      <c r="AD862" s="20"/>
    </row>
    <row r="863" spans="1:30"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6"/>
      <c r="AA863" s="26"/>
      <c r="AB863" s="20"/>
      <c r="AC863" s="20"/>
      <c r="AD863" s="20"/>
    </row>
    <row r="864" spans="1:30"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6"/>
      <c r="AA864" s="26"/>
      <c r="AB864" s="20"/>
      <c r="AC864" s="20"/>
      <c r="AD864" s="20"/>
    </row>
    <row r="865" spans="1:30"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6"/>
      <c r="AA865" s="26"/>
      <c r="AB865" s="20"/>
      <c r="AC865" s="20"/>
      <c r="AD865" s="20"/>
    </row>
    <row r="866" spans="1:30"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6"/>
      <c r="AA866" s="26"/>
      <c r="AB866" s="20"/>
      <c r="AC866" s="20"/>
      <c r="AD866" s="20"/>
    </row>
    <row r="867" spans="1:30"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6"/>
      <c r="AA867" s="26"/>
      <c r="AB867" s="20"/>
      <c r="AC867" s="20"/>
      <c r="AD867" s="20"/>
    </row>
    <row r="868" spans="1:30"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6"/>
      <c r="AA868" s="26"/>
      <c r="AB868" s="20"/>
      <c r="AC868" s="20"/>
      <c r="AD868" s="20"/>
    </row>
    <row r="869" spans="1:30"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6"/>
      <c r="AA869" s="26"/>
      <c r="AB869" s="20"/>
      <c r="AC869" s="20"/>
      <c r="AD869" s="20"/>
    </row>
    <row r="870" spans="1:30"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6"/>
      <c r="AA870" s="26"/>
      <c r="AB870" s="20"/>
      <c r="AC870" s="20"/>
      <c r="AD870" s="20"/>
    </row>
    <row r="871" spans="1:30"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6"/>
      <c r="AA871" s="26"/>
      <c r="AB871" s="20"/>
      <c r="AC871" s="20"/>
      <c r="AD871" s="20"/>
    </row>
    <row r="872" spans="1:30"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6"/>
      <c r="AA872" s="26"/>
      <c r="AB872" s="20"/>
      <c r="AC872" s="20"/>
      <c r="AD872" s="20"/>
    </row>
    <row r="873" spans="1:30"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6"/>
      <c r="AA873" s="26"/>
      <c r="AB873" s="20"/>
      <c r="AC873" s="20"/>
      <c r="AD873" s="20"/>
    </row>
    <row r="874" spans="1:30"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6"/>
      <c r="AA874" s="26"/>
      <c r="AB874" s="20"/>
      <c r="AC874" s="20"/>
      <c r="AD874" s="20"/>
    </row>
    <row r="875" spans="1:30"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6"/>
      <c r="AA875" s="26"/>
      <c r="AB875" s="20"/>
      <c r="AC875" s="20"/>
      <c r="AD875" s="20"/>
    </row>
    <row r="876" spans="1:30"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6"/>
      <c r="AA876" s="26"/>
      <c r="AB876" s="20"/>
      <c r="AC876" s="20"/>
      <c r="AD876" s="20"/>
    </row>
    <row r="877" spans="1:30"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6"/>
      <c r="AA877" s="26"/>
      <c r="AB877" s="20"/>
      <c r="AC877" s="20"/>
      <c r="AD877" s="20"/>
    </row>
    <row r="878" spans="1:30"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6"/>
      <c r="AA878" s="26"/>
      <c r="AB878" s="20"/>
      <c r="AC878" s="20"/>
      <c r="AD878" s="20"/>
    </row>
    <row r="879" spans="1:30"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6"/>
      <c r="AA879" s="26"/>
      <c r="AB879" s="20"/>
      <c r="AC879" s="20"/>
      <c r="AD879" s="20"/>
    </row>
    <row r="880" spans="1:30"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6"/>
      <c r="AA880" s="26"/>
      <c r="AB880" s="20"/>
      <c r="AC880" s="20"/>
      <c r="AD880" s="20"/>
    </row>
    <row r="881" spans="1:30"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6"/>
      <c r="AA881" s="26"/>
      <c r="AB881" s="20"/>
      <c r="AC881" s="20"/>
      <c r="AD881" s="20"/>
    </row>
    <row r="882" spans="1:30"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6"/>
      <c r="AA882" s="26"/>
      <c r="AB882" s="20"/>
      <c r="AC882" s="20"/>
      <c r="AD882" s="20"/>
    </row>
    <row r="883" spans="1:30"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6"/>
      <c r="AA883" s="26"/>
      <c r="AB883" s="20"/>
      <c r="AC883" s="20"/>
      <c r="AD883" s="20"/>
    </row>
    <row r="884" spans="1:30"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6"/>
      <c r="AA884" s="26"/>
      <c r="AB884" s="20"/>
      <c r="AC884" s="20"/>
      <c r="AD884" s="20"/>
    </row>
    <row r="885" spans="1:30"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6"/>
      <c r="AA885" s="26"/>
      <c r="AB885" s="20"/>
      <c r="AC885" s="20"/>
      <c r="AD885" s="20"/>
    </row>
    <row r="886" spans="1:30"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6"/>
      <c r="AA886" s="26"/>
      <c r="AB886" s="20"/>
      <c r="AC886" s="20"/>
      <c r="AD886" s="20"/>
    </row>
    <row r="887" spans="1:30"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6"/>
      <c r="AA887" s="26"/>
      <c r="AB887" s="20"/>
      <c r="AC887" s="20"/>
      <c r="AD887" s="20"/>
    </row>
    <row r="888" spans="1:30"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6"/>
      <c r="AA888" s="26"/>
      <c r="AB888" s="20"/>
      <c r="AC888" s="20"/>
      <c r="AD888" s="20"/>
    </row>
    <row r="889" spans="1:30"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6"/>
      <c r="AA889" s="26"/>
      <c r="AB889" s="20"/>
      <c r="AC889" s="20"/>
      <c r="AD889" s="20"/>
    </row>
    <row r="890" spans="1:30"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6"/>
      <c r="AA890" s="26"/>
      <c r="AB890" s="20"/>
      <c r="AC890" s="20"/>
      <c r="AD890" s="20"/>
    </row>
    <row r="891" spans="1:30"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6"/>
      <c r="AA891" s="26"/>
      <c r="AB891" s="20"/>
      <c r="AC891" s="20"/>
      <c r="AD891" s="20"/>
    </row>
    <row r="892" spans="1:30"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6"/>
      <c r="AA892" s="26"/>
      <c r="AB892" s="20"/>
      <c r="AC892" s="20"/>
      <c r="AD892" s="20"/>
    </row>
    <row r="893" spans="1:30"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6"/>
      <c r="AA893" s="26"/>
      <c r="AB893" s="20"/>
      <c r="AC893" s="20"/>
      <c r="AD893" s="20"/>
    </row>
    <row r="894" spans="1:30"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6"/>
      <c r="AA894" s="26"/>
      <c r="AB894" s="20"/>
      <c r="AC894" s="20"/>
      <c r="AD894" s="20"/>
    </row>
    <row r="895" spans="1:30"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6"/>
      <c r="AA895" s="26"/>
      <c r="AB895" s="20"/>
      <c r="AC895" s="20"/>
      <c r="AD895" s="20"/>
    </row>
    <row r="896" spans="1:30"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6"/>
      <c r="AA896" s="26"/>
      <c r="AB896" s="20"/>
      <c r="AC896" s="20"/>
      <c r="AD896" s="20"/>
    </row>
    <row r="897" spans="1:30"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6"/>
      <c r="AA897" s="26"/>
      <c r="AB897" s="20"/>
      <c r="AC897" s="20"/>
      <c r="AD897" s="20"/>
    </row>
    <row r="898" spans="1:30"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6"/>
      <c r="AA898" s="26"/>
      <c r="AB898" s="20"/>
      <c r="AC898" s="20"/>
      <c r="AD898" s="20"/>
    </row>
    <row r="899" spans="1:30"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6"/>
      <c r="AA899" s="26"/>
      <c r="AB899" s="20"/>
      <c r="AC899" s="20"/>
      <c r="AD899" s="20"/>
    </row>
    <row r="900" spans="1:30"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6"/>
      <c r="AA900" s="26"/>
      <c r="AB900" s="20"/>
      <c r="AC900" s="20"/>
      <c r="AD900" s="20"/>
    </row>
    <row r="901" spans="1:30"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6"/>
      <c r="AA901" s="26"/>
      <c r="AB901" s="20"/>
      <c r="AC901" s="20"/>
      <c r="AD901" s="20"/>
    </row>
    <row r="902" spans="1:30"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6"/>
      <c r="AA902" s="26"/>
      <c r="AB902" s="20"/>
      <c r="AC902" s="20"/>
      <c r="AD902" s="20"/>
    </row>
    <row r="903" spans="1:30"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6"/>
      <c r="AA903" s="26"/>
      <c r="AB903" s="20"/>
      <c r="AC903" s="20"/>
      <c r="AD903" s="20"/>
    </row>
    <row r="904" spans="1:30"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6"/>
      <c r="AA904" s="26"/>
      <c r="AB904" s="20"/>
      <c r="AC904" s="20"/>
      <c r="AD904" s="20"/>
    </row>
    <row r="905" spans="1:30"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6"/>
      <c r="AA905" s="26"/>
      <c r="AB905" s="20"/>
      <c r="AC905" s="20"/>
      <c r="AD905" s="20"/>
    </row>
    <row r="906" spans="1:30"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6"/>
      <c r="AA906" s="26"/>
      <c r="AB906" s="20"/>
      <c r="AC906" s="20"/>
      <c r="AD906" s="20"/>
    </row>
    <row r="907" spans="1:30"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6"/>
      <c r="AA907" s="26"/>
      <c r="AB907" s="20"/>
      <c r="AC907" s="20"/>
      <c r="AD907" s="20"/>
    </row>
    <row r="908" spans="1:30"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6"/>
      <c r="AA908" s="26"/>
      <c r="AB908" s="20"/>
      <c r="AC908" s="20"/>
      <c r="AD908" s="20"/>
    </row>
    <row r="909" spans="1:30"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6"/>
      <c r="AA909" s="26"/>
      <c r="AB909" s="20"/>
      <c r="AC909" s="20"/>
      <c r="AD909" s="20"/>
    </row>
    <row r="910" spans="1:30"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6"/>
      <c r="AA910" s="26"/>
      <c r="AB910" s="20"/>
      <c r="AC910" s="20"/>
      <c r="AD910" s="20"/>
    </row>
    <row r="911" spans="1:30"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6"/>
      <c r="AA911" s="26"/>
      <c r="AB911" s="20"/>
      <c r="AC911" s="20"/>
      <c r="AD911" s="20"/>
    </row>
    <row r="912" spans="1:30"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6"/>
      <c r="AA912" s="26"/>
      <c r="AB912" s="20"/>
      <c r="AC912" s="20"/>
      <c r="AD912" s="20"/>
    </row>
    <row r="913" spans="1:30"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6"/>
      <c r="AA913" s="26"/>
      <c r="AB913" s="20"/>
      <c r="AC913" s="20"/>
      <c r="AD913" s="20"/>
    </row>
    <row r="914" spans="1:30"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6"/>
      <c r="AA914" s="26"/>
      <c r="AB914" s="20"/>
      <c r="AC914" s="20"/>
      <c r="AD914" s="20"/>
    </row>
    <row r="915" spans="1:30"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6"/>
      <c r="AA915" s="26"/>
      <c r="AB915" s="20"/>
      <c r="AC915" s="20"/>
      <c r="AD915" s="20"/>
    </row>
    <row r="916" spans="1:30"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6"/>
      <c r="AA916" s="26"/>
      <c r="AB916" s="20"/>
      <c r="AC916" s="20"/>
      <c r="AD916" s="20"/>
    </row>
    <row r="917" spans="1:30"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6"/>
      <c r="AA917" s="26"/>
      <c r="AB917" s="20"/>
      <c r="AC917" s="20"/>
      <c r="AD917" s="20"/>
    </row>
    <row r="918" spans="1:30"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6"/>
      <c r="AA918" s="26"/>
      <c r="AB918" s="20"/>
      <c r="AC918" s="20"/>
      <c r="AD918" s="20"/>
    </row>
    <row r="919" spans="1:30"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6"/>
      <c r="AA919" s="26"/>
      <c r="AB919" s="20"/>
      <c r="AC919" s="20"/>
      <c r="AD919" s="20"/>
    </row>
    <row r="920" spans="1:30"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6"/>
      <c r="AA920" s="26"/>
      <c r="AB920" s="20"/>
      <c r="AC920" s="20"/>
      <c r="AD920" s="20"/>
    </row>
    <row r="921" spans="1:30"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6"/>
      <c r="AA921" s="26"/>
      <c r="AB921" s="20"/>
      <c r="AC921" s="20"/>
      <c r="AD921" s="20"/>
    </row>
    <row r="922" spans="1:30"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6"/>
      <c r="AA922" s="26"/>
      <c r="AB922" s="20"/>
      <c r="AC922" s="20"/>
      <c r="AD922" s="20"/>
    </row>
    <row r="923" spans="1:30"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6"/>
      <c r="AA923" s="26"/>
      <c r="AB923" s="20"/>
      <c r="AC923" s="20"/>
      <c r="AD923" s="20"/>
    </row>
    <row r="924" spans="1:30"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6"/>
      <c r="AA924" s="26"/>
      <c r="AB924" s="20"/>
      <c r="AC924" s="20"/>
      <c r="AD924" s="20"/>
    </row>
    <row r="925" spans="1:30"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6"/>
      <c r="AA925" s="26"/>
      <c r="AB925" s="20"/>
      <c r="AC925" s="20"/>
      <c r="AD925" s="20"/>
    </row>
    <row r="926" spans="1:30"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6"/>
      <c r="AA926" s="26"/>
      <c r="AB926" s="20"/>
      <c r="AC926" s="20"/>
      <c r="AD926" s="20"/>
    </row>
    <row r="927" spans="1:30"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6"/>
      <c r="AA927" s="26"/>
      <c r="AB927" s="20"/>
      <c r="AC927" s="20"/>
      <c r="AD927" s="20"/>
    </row>
    <row r="928" spans="1:30"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6"/>
      <c r="AA928" s="26"/>
      <c r="AB928" s="20"/>
      <c r="AC928" s="20"/>
      <c r="AD928" s="20"/>
    </row>
    <row r="929" spans="1:30"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6"/>
      <c r="AA929" s="26"/>
      <c r="AB929" s="20"/>
      <c r="AC929" s="20"/>
      <c r="AD929" s="20"/>
    </row>
    <row r="930" spans="1:30"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6"/>
      <c r="AA930" s="26"/>
      <c r="AB930" s="20"/>
      <c r="AC930" s="20"/>
      <c r="AD930" s="20"/>
    </row>
    <row r="931" spans="1:30"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6"/>
      <c r="AA931" s="26"/>
      <c r="AB931" s="20"/>
      <c r="AC931" s="20"/>
      <c r="AD931" s="20"/>
    </row>
    <row r="932" spans="1:30"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6"/>
      <c r="AA932" s="26"/>
      <c r="AB932" s="20"/>
      <c r="AC932" s="20"/>
      <c r="AD932" s="20"/>
    </row>
    <row r="933" spans="1:30"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6"/>
      <c r="AA933" s="26"/>
      <c r="AB933" s="20"/>
      <c r="AC933" s="20"/>
      <c r="AD933" s="20"/>
    </row>
    <row r="934" spans="1:30"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6"/>
      <c r="AA934" s="26"/>
      <c r="AB934" s="20"/>
      <c r="AC934" s="20"/>
      <c r="AD934" s="20"/>
    </row>
    <row r="935" spans="1:30"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6"/>
      <c r="AA935" s="26"/>
      <c r="AB935" s="20"/>
      <c r="AC935" s="20"/>
      <c r="AD935" s="20"/>
    </row>
    <row r="936" spans="1:30"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6"/>
      <c r="AA936" s="26"/>
      <c r="AB936" s="20"/>
      <c r="AC936" s="20"/>
      <c r="AD936" s="20"/>
    </row>
    <row r="937" spans="1:30"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6"/>
      <c r="AA937" s="26"/>
      <c r="AB937" s="20"/>
      <c r="AC937" s="20"/>
      <c r="AD937" s="20"/>
    </row>
    <row r="938" spans="1:30"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6"/>
      <c r="AA938" s="26"/>
      <c r="AB938" s="20"/>
      <c r="AC938" s="20"/>
      <c r="AD938" s="20"/>
    </row>
    <row r="939" spans="1:30"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6"/>
      <c r="AA939" s="26"/>
      <c r="AB939" s="20"/>
      <c r="AC939" s="20"/>
      <c r="AD939" s="20"/>
    </row>
    <row r="940" spans="1:30"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6"/>
      <c r="AA940" s="26"/>
      <c r="AB940" s="20"/>
      <c r="AC940" s="20"/>
      <c r="AD940" s="20"/>
    </row>
    <row r="941" spans="1:30"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6"/>
      <c r="AA941" s="26"/>
      <c r="AB941" s="20"/>
      <c r="AC941" s="20"/>
      <c r="AD941" s="20"/>
    </row>
    <row r="942" spans="1:30"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6"/>
      <c r="AA942" s="26"/>
      <c r="AB942" s="20"/>
      <c r="AC942" s="20"/>
      <c r="AD942" s="20"/>
    </row>
    <row r="943" spans="1:30"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6"/>
      <c r="AA943" s="26"/>
      <c r="AB943" s="20"/>
      <c r="AC943" s="20"/>
      <c r="AD943" s="20"/>
    </row>
    <row r="944" spans="1:30"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6"/>
      <c r="AA944" s="26"/>
      <c r="AB944" s="20"/>
      <c r="AC944" s="20"/>
      <c r="AD944" s="20"/>
    </row>
    <row r="945" spans="1:30"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6"/>
      <c r="AA945" s="26"/>
      <c r="AB945" s="20"/>
      <c r="AC945" s="20"/>
      <c r="AD945" s="20"/>
    </row>
    <row r="946" spans="1:30"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6"/>
      <c r="AA946" s="26"/>
      <c r="AB946" s="20"/>
      <c r="AC946" s="20"/>
      <c r="AD946" s="20"/>
    </row>
    <row r="947" spans="1:30"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6"/>
      <c r="AA947" s="26"/>
      <c r="AB947" s="20"/>
      <c r="AC947" s="20"/>
      <c r="AD947" s="20"/>
    </row>
    <row r="948" spans="1:30"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6"/>
      <c r="AA948" s="26"/>
      <c r="AB948" s="20"/>
      <c r="AC948" s="20"/>
      <c r="AD948" s="20"/>
    </row>
    <row r="949" spans="1:30"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6"/>
      <c r="AA949" s="26"/>
      <c r="AB949" s="20"/>
      <c r="AC949" s="20"/>
      <c r="AD949" s="20"/>
    </row>
    <row r="950" spans="1:30"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6"/>
      <c r="AA950" s="26"/>
      <c r="AB950" s="20"/>
      <c r="AC950" s="20"/>
      <c r="AD950" s="20"/>
    </row>
    <row r="951" spans="1:30"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6"/>
      <c r="AA951" s="26"/>
      <c r="AB951" s="20"/>
      <c r="AC951" s="20"/>
      <c r="AD951" s="20"/>
    </row>
    <row r="952" spans="1:30"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6"/>
      <c r="AA952" s="26"/>
      <c r="AB952" s="20"/>
      <c r="AC952" s="20"/>
      <c r="AD952" s="20"/>
    </row>
    <row r="953" spans="1:30"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6"/>
      <c r="AA953" s="26"/>
      <c r="AB953" s="20"/>
      <c r="AC953" s="20"/>
      <c r="AD953" s="20"/>
    </row>
    <row r="954" spans="1:30"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6"/>
      <c r="AA954" s="26"/>
      <c r="AB954" s="20"/>
      <c r="AC954" s="20"/>
      <c r="AD954" s="20"/>
    </row>
    <row r="955" spans="1:30"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6"/>
      <c r="AA955" s="26"/>
      <c r="AB955" s="20"/>
      <c r="AC955" s="20"/>
      <c r="AD955" s="20"/>
    </row>
    <row r="956" spans="1:30"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6"/>
      <c r="AA956" s="26"/>
      <c r="AB956" s="20"/>
      <c r="AC956" s="20"/>
      <c r="AD956" s="20"/>
    </row>
    <row r="957" spans="1:30"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6"/>
      <c r="AA957" s="26"/>
      <c r="AB957" s="20"/>
      <c r="AC957" s="20"/>
      <c r="AD957" s="20"/>
    </row>
    <row r="958" spans="1:30"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6"/>
      <c r="AA958" s="26"/>
      <c r="AB958" s="20"/>
      <c r="AC958" s="20"/>
      <c r="AD958" s="20"/>
    </row>
    <row r="959" spans="1:30"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6"/>
      <c r="AA959" s="26"/>
      <c r="AB959" s="20"/>
      <c r="AC959" s="20"/>
      <c r="AD959" s="20"/>
    </row>
    <row r="960" spans="1:30"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6"/>
      <c r="AA960" s="26"/>
      <c r="AB960" s="20"/>
      <c r="AC960" s="20"/>
      <c r="AD960" s="20"/>
    </row>
    <row r="961" spans="1:30"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6"/>
      <c r="AA961" s="26"/>
      <c r="AB961" s="20"/>
      <c r="AC961" s="20"/>
      <c r="AD961" s="20"/>
    </row>
    <row r="962" spans="1:30"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6"/>
      <c r="AA962" s="26"/>
      <c r="AB962" s="20"/>
      <c r="AC962" s="20"/>
      <c r="AD962" s="20"/>
    </row>
    <row r="963" spans="1:30"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6"/>
      <c r="AA963" s="26"/>
      <c r="AB963" s="20"/>
      <c r="AC963" s="20"/>
      <c r="AD963" s="20"/>
    </row>
    <row r="964" spans="1:30"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6"/>
      <c r="AA964" s="26"/>
      <c r="AB964" s="20"/>
      <c r="AC964" s="20"/>
      <c r="AD964" s="20"/>
    </row>
    <row r="965" spans="1:30"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6"/>
      <c r="AA965" s="26"/>
      <c r="AB965" s="20"/>
      <c r="AC965" s="20"/>
      <c r="AD965" s="20"/>
    </row>
    <row r="966" spans="1:30"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6"/>
      <c r="AA966" s="26"/>
      <c r="AB966" s="20"/>
      <c r="AC966" s="20"/>
      <c r="AD966" s="20"/>
    </row>
    <row r="967" spans="1:30"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6"/>
      <c r="AA967" s="26"/>
      <c r="AB967" s="20"/>
      <c r="AC967" s="20"/>
      <c r="AD967" s="20"/>
    </row>
    <row r="968" spans="1:30"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6"/>
      <c r="AA968" s="26"/>
      <c r="AB968" s="20"/>
      <c r="AC968" s="20"/>
      <c r="AD968" s="20"/>
    </row>
    <row r="969" spans="1:30"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6"/>
      <c r="AA969" s="26"/>
      <c r="AB969" s="20"/>
      <c r="AC969" s="20"/>
      <c r="AD969" s="20"/>
    </row>
    <row r="970" spans="1:30"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6"/>
      <c r="AA970" s="26"/>
      <c r="AB970" s="20"/>
      <c r="AC970" s="20"/>
      <c r="AD970" s="20"/>
    </row>
    <row r="971" spans="1:30"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6"/>
      <c r="AA971" s="26"/>
      <c r="AB971" s="20"/>
      <c r="AC971" s="20"/>
      <c r="AD971" s="20"/>
    </row>
    <row r="972" spans="1:30"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6"/>
      <c r="AA972" s="26"/>
      <c r="AB972" s="20"/>
      <c r="AC972" s="20"/>
      <c r="AD972" s="20"/>
    </row>
    <row r="973" spans="1:30"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6"/>
      <c r="AA973" s="26"/>
      <c r="AB973" s="20"/>
      <c r="AC973" s="20"/>
      <c r="AD973" s="20"/>
    </row>
    <row r="974" spans="1:30"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6"/>
      <c r="AA974" s="26"/>
      <c r="AB974" s="20"/>
      <c r="AC974" s="20"/>
      <c r="AD974" s="20"/>
    </row>
    <row r="975" spans="1:30"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6"/>
      <c r="AA975" s="26"/>
      <c r="AB975" s="20"/>
      <c r="AC975" s="20"/>
      <c r="AD975" s="20"/>
    </row>
    <row r="976" spans="1:30"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6"/>
      <c r="AA976" s="26"/>
      <c r="AB976" s="20"/>
      <c r="AC976" s="20"/>
      <c r="AD976" s="20"/>
    </row>
    <row r="977" spans="1:30"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6"/>
      <c r="AA977" s="26"/>
      <c r="AB977" s="20"/>
      <c r="AC977" s="20"/>
      <c r="AD977" s="20"/>
    </row>
    <row r="978" spans="1:30"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6"/>
      <c r="AA978" s="26"/>
      <c r="AB978" s="20"/>
      <c r="AC978" s="20"/>
      <c r="AD978" s="20"/>
    </row>
    <row r="979" spans="1:30"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6"/>
      <c r="AA979" s="26"/>
      <c r="AB979" s="20"/>
      <c r="AC979" s="20"/>
      <c r="AD979" s="20"/>
    </row>
    <row r="980" spans="1:30"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6"/>
      <c r="AA980" s="26"/>
      <c r="AB980" s="20"/>
      <c r="AC980" s="20"/>
      <c r="AD980" s="20"/>
    </row>
    <row r="981" spans="1:30"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6"/>
      <c r="AA981" s="26"/>
      <c r="AB981" s="20"/>
      <c r="AC981" s="20"/>
      <c r="AD981" s="20"/>
    </row>
    <row r="982" spans="1:30"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6"/>
      <c r="AA982" s="26"/>
      <c r="AB982" s="20"/>
      <c r="AC982" s="20"/>
      <c r="AD982" s="20"/>
    </row>
    <row r="983" spans="1:30"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6"/>
      <c r="AA983" s="26"/>
      <c r="AB983" s="20"/>
      <c r="AC983" s="20"/>
      <c r="AD983" s="20"/>
    </row>
    <row r="984" spans="1:30"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6"/>
      <c r="AA984" s="26"/>
      <c r="AB984" s="20"/>
      <c r="AC984" s="20"/>
      <c r="AD984" s="20"/>
    </row>
    <row r="985" spans="1:30"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6"/>
      <c r="AA985" s="26"/>
      <c r="AB985" s="20"/>
      <c r="AC985" s="20"/>
      <c r="AD985" s="20"/>
    </row>
    <row r="986" spans="1:30"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6"/>
      <c r="AA986" s="26"/>
      <c r="AB986" s="20"/>
      <c r="AC986" s="20"/>
      <c r="AD986" s="20"/>
    </row>
    <row r="987" spans="1:30"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6"/>
      <c r="AA987" s="26"/>
      <c r="AB987" s="20"/>
      <c r="AC987" s="20"/>
      <c r="AD987" s="20"/>
    </row>
    <row r="988" spans="1:30"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6"/>
      <c r="AA988" s="26"/>
      <c r="AB988" s="20"/>
      <c r="AC988" s="20"/>
      <c r="AD988" s="20"/>
    </row>
    <row r="989" spans="1:30"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6"/>
      <c r="AA989" s="26"/>
      <c r="AB989" s="20"/>
      <c r="AC989" s="20"/>
      <c r="AD989" s="20"/>
    </row>
    <row r="990" spans="1:30"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6"/>
      <c r="AA990" s="26"/>
      <c r="AB990" s="20"/>
      <c r="AC990" s="20"/>
      <c r="AD990" s="20"/>
    </row>
    <row r="991" spans="1:30"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6"/>
      <c r="AA991" s="26"/>
      <c r="AB991" s="20"/>
      <c r="AC991" s="20"/>
      <c r="AD991" s="20"/>
    </row>
    <row r="992" spans="1:30"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6"/>
      <c r="AA992" s="26"/>
      <c r="AB992" s="20"/>
      <c r="AC992" s="20"/>
      <c r="AD992" s="20"/>
    </row>
    <row r="993" spans="1:30"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6"/>
      <c r="AA993" s="26"/>
      <c r="AB993" s="20"/>
      <c r="AC993" s="20"/>
      <c r="AD993" s="20"/>
    </row>
    <row r="994" spans="1:30"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6"/>
      <c r="AA994" s="26"/>
      <c r="AB994" s="20"/>
      <c r="AC994" s="20"/>
      <c r="AD994" s="20"/>
    </row>
    <row r="995" spans="1:30"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6"/>
      <c r="AA995" s="26"/>
      <c r="AB995" s="20"/>
      <c r="AC995" s="20"/>
      <c r="AD995" s="20"/>
    </row>
    <row r="996" spans="1:30"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6"/>
      <c r="AA996" s="26"/>
      <c r="AB996" s="20"/>
      <c r="AC996" s="20"/>
      <c r="AD996" s="20"/>
    </row>
    <row r="997" spans="1:30"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6"/>
      <c r="AA997" s="26"/>
      <c r="AB997" s="20"/>
      <c r="AC997" s="20"/>
      <c r="AD997" s="20"/>
    </row>
    <row r="998" spans="1:30"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6"/>
      <c r="AA998" s="26"/>
      <c r="AB998" s="20"/>
      <c r="AC998" s="20"/>
      <c r="AD998" s="20"/>
    </row>
    <row r="999" spans="1:30"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6"/>
      <c r="AA999" s="26"/>
      <c r="AB999" s="20"/>
      <c r="AC999" s="20"/>
      <c r="AD999" s="20"/>
    </row>
    <row r="1000" spans="1:30"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6"/>
      <c r="AA1000" s="26"/>
      <c r="AB1000" s="20"/>
      <c r="AC1000" s="20"/>
      <c r="AD1000" s="20"/>
    </row>
    <row r="1001" spans="1:30"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6"/>
      <c r="AA1001" s="26"/>
      <c r="AB1001" s="20"/>
      <c r="AC1001" s="20"/>
      <c r="AD1001" s="20"/>
    </row>
    <row r="1002" spans="1:30"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6"/>
      <c r="AA1002" s="26"/>
      <c r="AB1002" s="20"/>
      <c r="AC1002" s="20"/>
      <c r="AD1002" s="20"/>
    </row>
    <row r="1003" spans="1:30"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6"/>
      <c r="AA1003" s="26"/>
      <c r="AB1003" s="20"/>
      <c r="AC1003" s="20"/>
      <c r="AD1003" s="20"/>
    </row>
    <row r="1004" spans="1:30"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6"/>
      <c r="AA1004" s="26"/>
      <c r="AB1004" s="20"/>
      <c r="AC1004" s="20"/>
      <c r="AD1004" s="20"/>
    </row>
    <row r="1005" spans="1:30"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6"/>
      <c r="AA1005" s="26"/>
      <c r="AB1005" s="20"/>
      <c r="AC1005" s="20"/>
      <c r="AD1005" s="20"/>
    </row>
    <row r="1006" spans="1:30" ht="15.75" customHeight="1" x14ac:dyDescent="0.2">
      <c r="A1006" s="20"/>
      <c r="B1006" s="20"/>
      <c r="C1006" s="20"/>
      <c r="D1006" s="20"/>
      <c r="E1006" s="21"/>
      <c r="F1006" s="22"/>
      <c r="G1006" s="22"/>
      <c r="H1006" s="20"/>
      <c r="I1006" s="20"/>
      <c r="J1006" s="21"/>
      <c r="K1006" s="22"/>
      <c r="L1006" s="22"/>
      <c r="M1006" s="20"/>
      <c r="N1006" s="20"/>
      <c r="O1006" s="20"/>
      <c r="P1006" s="20"/>
      <c r="Q1006" s="23"/>
      <c r="R1006" s="23"/>
      <c r="S1006" s="24"/>
      <c r="T1006" s="20"/>
      <c r="U1006" s="20"/>
      <c r="V1006" s="24"/>
      <c r="W1006" s="20"/>
      <c r="X1006" s="20"/>
      <c r="Y1006" s="25"/>
      <c r="Z1006" s="26"/>
      <c r="AA1006" s="26"/>
      <c r="AB1006" s="20"/>
      <c r="AC1006" s="20"/>
      <c r="AD1006" s="20"/>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activeCell="A20" sqref="A20"/>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4"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1" customFormat="1" x14ac:dyDescent="0.2">
      <c r="A3" s="44">
        <v>2</v>
      </c>
      <c r="B3" s="44" t="s">
        <v>88</v>
      </c>
      <c r="C3" s="44">
        <v>4</v>
      </c>
      <c r="D3" s="44">
        <v>1</v>
      </c>
      <c r="E3" s="45">
        <v>44983</v>
      </c>
      <c r="F3" s="49">
        <v>12.250277777784504</v>
      </c>
      <c r="G3" s="44" t="s">
        <v>23</v>
      </c>
      <c r="H3" s="44"/>
    </row>
    <row r="4" spans="1:8" s="51" customFormat="1" x14ac:dyDescent="0.2">
      <c r="A4" s="44">
        <v>2</v>
      </c>
      <c r="B4" s="44" t="s">
        <v>88</v>
      </c>
      <c r="C4" s="44">
        <v>4</v>
      </c>
      <c r="D4" s="44">
        <v>2</v>
      </c>
      <c r="E4" s="45">
        <v>44983</v>
      </c>
      <c r="F4" s="49">
        <v>11.499999999941792</v>
      </c>
      <c r="G4" s="44" t="s">
        <v>23</v>
      </c>
      <c r="H4" s="44"/>
    </row>
    <row r="5" spans="1:8" s="51" customFormat="1" x14ac:dyDescent="0.2">
      <c r="A5" s="44">
        <v>2</v>
      </c>
      <c r="B5" s="44" t="s">
        <v>88</v>
      </c>
      <c r="C5" s="44">
        <v>4</v>
      </c>
      <c r="D5" s="44">
        <v>3</v>
      </c>
      <c r="E5" s="45">
        <v>44983</v>
      </c>
      <c r="F5" s="49">
        <v>12.083333333430346</v>
      </c>
      <c r="G5" s="44" t="s">
        <v>23</v>
      </c>
      <c r="H5" s="44"/>
    </row>
    <row r="6" spans="1:8" s="51" customFormat="1" x14ac:dyDescent="0.2">
      <c r="A6" s="44">
        <v>2</v>
      </c>
      <c r="B6" s="44" t="s">
        <v>88</v>
      </c>
      <c r="C6" s="44">
        <v>4</v>
      </c>
      <c r="D6" s="44">
        <v>4</v>
      </c>
      <c r="E6" s="45">
        <v>44983</v>
      </c>
      <c r="F6" s="49">
        <v>11.583055555529427</v>
      </c>
      <c r="G6" s="44" t="s">
        <v>23</v>
      </c>
      <c r="H6" s="44"/>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1" customFormat="1" x14ac:dyDescent="0.2">
      <c r="A9" s="44">
        <v>4</v>
      </c>
      <c r="B9" s="44" t="s">
        <v>88</v>
      </c>
      <c r="C9" s="44">
        <v>6</v>
      </c>
      <c r="D9" s="44">
        <v>1</v>
      </c>
      <c r="E9" s="45">
        <v>44985</v>
      </c>
      <c r="F9" s="49">
        <v>1.7480555555666797</v>
      </c>
      <c r="G9" s="44" t="s">
        <v>30</v>
      </c>
      <c r="H9" s="44" t="s">
        <v>31</v>
      </c>
    </row>
    <row r="10" spans="1:8" x14ac:dyDescent="0.2">
      <c r="A10" s="20">
        <v>5</v>
      </c>
      <c r="B10" s="20" t="s">
        <v>87</v>
      </c>
      <c r="C10" s="20">
        <v>6</v>
      </c>
      <c r="D10" s="20">
        <v>1</v>
      </c>
      <c r="E10" s="21">
        <v>45084</v>
      </c>
      <c r="F10" s="25">
        <v>1.0922222222434357</v>
      </c>
      <c r="G10" s="20" t="s">
        <v>30</v>
      </c>
      <c r="H10" s="20" t="s">
        <v>34</v>
      </c>
    </row>
    <row r="11" spans="1:8" s="51" customFormat="1" x14ac:dyDescent="0.2">
      <c r="A11" s="44">
        <v>6</v>
      </c>
      <c r="B11" s="44" t="s">
        <v>87</v>
      </c>
      <c r="C11" s="44">
        <v>4</v>
      </c>
      <c r="D11" s="44">
        <v>1</v>
      </c>
      <c r="E11" s="45">
        <v>45084</v>
      </c>
      <c r="F11" s="49">
        <v>12.746666666760575</v>
      </c>
      <c r="G11" s="44" t="s">
        <v>23</v>
      </c>
      <c r="H11" s="44"/>
    </row>
    <row r="12" spans="1:8" s="51" customFormat="1" x14ac:dyDescent="0.2">
      <c r="A12" s="44">
        <v>7</v>
      </c>
      <c r="B12" s="44" t="s">
        <v>87</v>
      </c>
      <c r="C12" s="44">
        <v>4</v>
      </c>
      <c r="D12" s="44">
        <v>2</v>
      </c>
      <c r="E12" s="45">
        <v>45084</v>
      </c>
      <c r="F12" s="49">
        <v>11.666944444470573</v>
      </c>
      <c r="G12" s="44" t="s">
        <v>23</v>
      </c>
      <c r="H12" s="44"/>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5" customFormat="1" x14ac:dyDescent="0.2">
      <c r="A15" s="44">
        <v>10</v>
      </c>
      <c r="B15" s="44" t="s">
        <v>41</v>
      </c>
      <c r="C15" s="44">
        <v>6</v>
      </c>
      <c r="D15" s="44">
        <v>1</v>
      </c>
      <c r="E15" s="45">
        <v>45176</v>
      </c>
      <c r="F15" s="49">
        <v>88.993611111072823</v>
      </c>
      <c r="G15" s="44" t="s">
        <v>30</v>
      </c>
      <c r="H15" s="44"/>
    </row>
    <row r="16" spans="1:8" ht="15.75" customHeight="1" x14ac:dyDescent="0.2">
      <c r="A16" s="20">
        <v>11</v>
      </c>
      <c r="B16" s="20" t="s">
        <v>96</v>
      </c>
      <c r="C16" s="20">
        <v>5</v>
      </c>
      <c r="D16" s="20">
        <v>1</v>
      </c>
      <c r="E16" s="21">
        <v>45317</v>
      </c>
      <c r="F16" s="25">
        <v>24.083333333255723</v>
      </c>
      <c r="G16" s="20" t="s">
        <v>29</v>
      </c>
      <c r="H16" s="20" t="s">
        <v>97</v>
      </c>
    </row>
    <row r="17" spans="1:8" ht="15.75" customHeight="1" x14ac:dyDescent="0.2">
      <c r="A17" s="20">
        <v>11</v>
      </c>
      <c r="B17" s="20" t="s">
        <v>96</v>
      </c>
      <c r="C17" s="20">
        <v>5</v>
      </c>
      <c r="D17" s="20">
        <v>2</v>
      </c>
      <c r="E17" s="21">
        <v>45317</v>
      </c>
      <c r="F17" s="25">
        <v>22.744166666641831</v>
      </c>
      <c r="G17" s="20" t="s">
        <v>29</v>
      </c>
      <c r="H17" s="20" t="s">
        <v>97</v>
      </c>
    </row>
    <row r="18" spans="1:8" ht="15.75" customHeight="1" x14ac:dyDescent="0.2">
      <c r="A18" s="20">
        <v>11</v>
      </c>
      <c r="B18" s="20" t="s">
        <v>96</v>
      </c>
      <c r="C18" s="20">
        <v>5</v>
      </c>
      <c r="D18" s="20">
        <v>3</v>
      </c>
      <c r="E18" s="21">
        <v>45317</v>
      </c>
      <c r="F18" s="25">
        <v>23.754444444493856</v>
      </c>
      <c r="G18" s="20" t="s">
        <v>29</v>
      </c>
      <c r="H18" s="20" t="s">
        <v>97</v>
      </c>
    </row>
    <row r="19" spans="1:8" s="60" customFormat="1" ht="15.75" customHeight="1" x14ac:dyDescent="0.2">
      <c r="A19" s="57">
        <v>12</v>
      </c>
      <c r="B19" s="57" t="s">
        <v>96</v>
      </c>
      <c r="C19" s="57">
        <v>6</v>
      </c>
      <c r="D19" s="57">
        <v>1</v>
      </c>
      <c r="E19" s="58">
        <v>45317</v>
      </c>
      <c r="F19" s="59">
        <v>21.333611111040227</v>
      </c>
      <c r="G19" s="57" t="s">
        <v>29</v>
      </c>
      <c r="H19" s="57" t="s">
        <v>98</v>
      </c>
    </row>
    <row r="20" spans="1:8" s="60" customFormat="1" ht="15.75" customHeight="1" x14ac:dyDescent="0.2">
      <c r="A20" s="57">
        <v>12</v>
      </c>
      <c r="B20" s="57" t="s">
        <v>96</v>
      </c>
      <c r="C20" s="57">
        <v>6</v>
      </c>
      <c r="D20" s="57">
        <v>1</v>
      </c>
      <c r="E20" s="58">
        <v>45317</v>
      </c>
      <c r="F20" s="59">
        <v>47.183611111133359</v>
      </c>
      <c r="G20" s="57" t="s">
        <v>29</v>
      </c>
      <c r="H20" s="57"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3"/>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91" t="s">
        <v>86</v>
      </c>
      <c r="B1" s="92"/>
      <c r="C1" s="92"/>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2022-2023</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2025-03-02T17:55:49Z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