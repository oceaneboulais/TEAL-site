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mc:AlternateContent xmlns:mc="http://schemas.openxmlformats.org/markup-compatibility/2006">
    <mc:Choice Requires="x15">
      <x15ac:absPath xmlns:x15ac="http://schemas.microsoft.com/office/spreadsheetml/2010/11/ac" url="/Volumes/homes/alaferriere/GIT/ThodeLab/drifter/"/>
    </mc:Choice>
  </mc:AlternateContent>
  <xr:revisionPtr revIDLastSave="0" documentId="13_ncr:1_{A31C49D4-1DEA-A545-B640-D4EB5A1ECD67}" xr6:coauthVersionLast="47" xr6:coauthVersionMax="47" xr10:uidLastSave="{00000000-0000-0000-0000-000000000000}"/>
  <bookViews>
    <workbookView xWindow="6580" yWindow="500" windowWidth="30240" windowHeight="18880" xr2:uid="{00000000-000D-0000-FFFF-FFFF00000000}"/>
  </bookViews>
  <sheets>
    <sheet name="Drifter Log 2022-2024" sheetId="1" r:id="rId1"/>
    <sheet name="SanDiegoSummary" sheetId="4" r:id="rId2"/>
    <sheet name="NOAA Solar Calculator" sheetId="3" r:id="rId3"/>
  </sheets>
  <definedNames>
    <definedName name="_xlnm._FilterDatabase" localSheetId="0" hidden="1">'Drifter Log 2022-2024'!$A$1:$AD$35</definedName>
    <definedName name="_xlnm._FilterDatabase" localSheetId="1" hidden="1">SanDiegoSummary!$A$1:$H$15</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<sst xmlns="http://schemas.openxmlformats.org/spreadsheetml/2006/main" count="325" uniqueCount="134">
  <si>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</si>
  <si>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</si>
  <si>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</si>
  <si>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</si>
  <si>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</si>
  <si>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</si>
  <si>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</si>
  <si>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</si>
  <si>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</si>
  <si>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</si>
  <si>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</si>
  <si>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</si>
  <si>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</si>
  <si>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</si>
  <si>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</si>
  <si>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</si>
  <si>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</si>
  <si>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</si>
  <si>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</si>
  <si>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</si>
  <si>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</si>
  <si>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</si>
  <si>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</si>
  <si>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</si>
  <si>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</si>
  <si>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</si>
  <si>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</si>
  <si>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</si>
  <si>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</si>
  <si>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</si>
  <si>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</si>
  <si>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</si>
  <si>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</si>
  <si>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</si>
  <si>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</si>
  <si>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</si>
  <si>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</si>
  <si>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</si>
  <si>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</si>
  <si>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</si>
  <si>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</si>
  <si>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</si>
  <si>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</si>
  <si>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</si>
  <si>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</si>
  <si>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</si>
  <si>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</si>
  <si>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</si>
  <si>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</si>
  <si>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</si>
  <si>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</si>
  <si>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</si>
  <si>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</si>
  <si>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</si>
  <si>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</si>
  <si>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</si>
  <si>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</si>
  <si>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</si>
  <si>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</si>
  <si>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</si>
  <si>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</si>
  <si>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</si>
  <si>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</si>
  <si>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</si>
  <si>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</si>
  <si>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</si>
  <si>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</si>
  <si>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</si>
  <si>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</si>
  <si>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</si>
  <si>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</si>
  <si>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</si>
  <si>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</si>
  <si>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</si>
  <si>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</si>
  <si>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</si>
  <si>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</si>
  <si>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</si>
  <si>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</si>
  <si>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</si>
  <si>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</si>
  <si>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</si>
  <si>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</si>
  <si>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</si>
  <si>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</si>
  <si>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</si>
  <si>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</si>
  <si>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</si>
  <si>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</si>
  <si>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</si>
  <si>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</si>
  <si>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</si>
  <si>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</si>
  <si>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</si>
  <si>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</si>
  <si>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</si>
  <si>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</si>
  <si>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</si>
  <si>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</si>
  <si>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</si>
  <si>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</si>
  <si>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</si>
  <si>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</si>
  <si>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</si>
  <si>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</si>
  <si>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</si>
  <si>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</si>
  <si>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</si>
  <si>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</si>
  <si>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</si>
  <si>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</si>
  <si>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</si>
  <si>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</si>
  <si>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</si>
  <si>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</si>
  <si>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</si>
  <si>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</si>
  <si>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</si>
  <si>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</si>
  <si>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</si>
  <si>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</si>
  <si>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</si>
  <si>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</si>
  <si>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2024_Seamounts</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</si>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</sst>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7" fillId="4" borderId="0" xfId="0" applyFont="1" applyFill="1"/>
    <xf numFmtId="0" fontId="11" fillId="0" borderId="0" xfId="2" applyFont="1" applyAlignment="1">
      <alignment vertical="top" wrapText="1"/>
    </xf>
    <xf numFmtId="0" fontId="10"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M1" zoomScale="115" workbookViewId="0">
      <pane ySplit="1" topLeftCell="A25" activePane="bottomLeft" state="frozen"/>
      <selection pane="bottomLeft" activeCell="R32" sqref="R3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44818.718055555553</v>
      </c>
      <c r="H2" s="37">
        <v>39.865239000000003</v>
      </c>
      <c r="I2" s="37">
        <v>-70.443644000000006</v>
      </c>
      <c r="J2" s="39">
        <v>44818</v>
      </c>
      <c r="K2" s="40">
        <v>0.66666666666666663</v>
      </c>
      <c r="L2" s="41">
        <f t="shared" ref="L2:L3" si="1">$J2+$K2 +TIME($AC2,0,0)</f>
        <v>44818.833333333328</v>
      </c>
      <c r="M2" s="37">
        <v>39.869919000000003</v>
      </c>
      <c r="N2" s="37">
        <v>-70.432182999999995</v>
      </c>
      <c r="O2" s="37">
        <v>1</v>
      </c>
      <c r="P2" s="37" t="s">
        <v>23</v>
      </c>
      <c r="Q2" s="42">
        <v>300434066482170</v>
      </c>
      <c r="R2" s="42" t="s">
        <v>36</v>
      </c>
      <c r="S2" s="43">
        <v>44818.76803240741</v>
      </c>
      <c r="T2" s="92">
        <v>39.866098999999998</v>
      </c>
      <c r="U2" s="92">
        <v>-70.443217000000004</v>
      </c>
      <c r="V2" s="43">
        <v>44818.809594907405</v>
      </c>
      <c r="W2" s="92">
        <v>39.867842000000003</v>
      </c>
      <c r="X2" s="92">
        <v>-70.437183000000005</v>
      </c>
      <c r="Y2" s="50">
        <f t="shared" ref="Y2:Y39" si="2">(V2-S2)*1440/60</f>
        <v>0.99749999988125637</v>
      </c>
      <c r="Z2" s="44">
        <v>0.43124999999999997</v>
      </c>
      <c r="AA2" s="44">
        <v>0.45208333333333334</v>
      </c>
      <c r="AC2" s="37">
        <v>4</v>
      </c>
      <c r="AD2" s="37" t="s">
        <v>24</v>
      </c>
    </row>
    <row r="3" spans="1:30" ht="16" x14ac:dyDescent="0.2">
      <c r="A3" s="20">
        <v>2</v>
      </c>
      <c r="B3" s="19" t="s">
        <v>89</v>
      </c>
      <c r="C3" s="20">
        <v>4</v>
      </c>
      <c r="D3" s="20">
        <v>1</v>
      </c>
      <c r="E3" s="21">
        <v>44819</v>
      </c>
      <c r="F3" s="22">
        <v>0.42638888888888887</v>
      </c>
      <c r="G3" s="64">
        <f t="shared" si="0"/>
        <v>44819.593055555553</v>
      </c>
      <c r="H3" s="20">
        <v>39.813581999999997</v>
      </c>
      <c r="I3" s="20">
        <v>-70.271919999999994</v>
      </c>
      <c r="J3" s="21">
        <v>44819</v>
      </c>
      <c r="K3" s="22">
        <v>0.47638888888888892</v>
      </c>
      <c r="L3" s="64">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7" customFormat="1" ht="16" x14ac:dyDescent="0.2">
      <c r="A4" s="37">
        <v>3</v>
      </c>
      <c r="B4" s="38" t="s">
        <v>89</v>
      </c>
      <c r="C4" s="37">
        <v>4</v>
      </c>
      <c r="D4" s="37">
        <v>1</v>
      </c>
      <c r="E4" s="39">
        <v>44822</v>
      </c>
      <c r="F4" s="40"/>
      <c r="G4" s="88" t="s">
        <v>126</v>
      </c>
      <c r="H4" s="37">
        <v>38.944544999999998</v>
      </c>
      <c r="I4" s="37">
        <v>-63.757482000000003</v>
      </c>
      <c r="J4" s="39">
        <v>44822</v>
      </c>
      <c r="K4" s="40"/>
      <c r="L4" s="89" t="s">
        <v>127</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0">
        <f t="shared" si="2"/>
        <v>9.1666666666860692</v>
      </c>
      <c r="Z4" s="44">
        <v>0.41597222222222219</v>
      </c>
      <c r="AA4" s="44">
        <v>0.92986111111111114</v>
      </c>
      <c r="AB4" s="37">
        <v>250</v>
      </c>
      <c r="AC4" s="37">
        <v>4</v>
      </c>
      <c r="AD4" s="37" t="s">
        <v>26</v>
      </c>
    </row>
    <row r="5" spans="1:30" ht="16" x14ac:dyDescent="0.2">
      <c r="A5" s="20">
        <v>4</v>
      </c>
      <c r="B5" s="19" t="s">
        <v>89</v>
      </c>
      <c r="C5" s="20">
        <v>4</v>
      </c>
      <c r="D5" s="20">
        <v>1</v>
      </c>
      <c r="E5" s="21">
        <v>44822</v>
      </c>
      <c r="F5" s="22"/>
      <c r="G5" s="90" t="s">
        <v>128</v>
      </c>
      <c r="H5" s="20">
        <v>38.917915000000001</v>
      </c>
      <c r="I5" s="20">
        <v>-63.991678</v>
      </c>
      <c r="J5" s="21">
        <v>44823</v>
      </c>
      <c r="K5" s="22"/>
      <c r="L5" s="22" t="s">
        <v>129</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2" customFormat="1" ht="16" x14ac:dyDescent="0.2">
      <c r="A6" s="45">
        <v>5</v>
      </c>
      <c r="B6" s="38" t="s">
        <v>89</v>
      </c>
      <c r="C6" s="45">
        <v>4</v>
      </c>
      <c r="D6" s="45">
        <v>1</v>
      </c>
      <c r="E6" s="46">
        <v>44823</v>
      </c>
      <c r="F6" s="47"/>
      <c r="G6" s="88" t="s">
        <v>130</v>
      </c>
      <c r="H6" s="45">
        <v>38.885973999999997</v>
      </c>
      <c r="I6" s="45">
        <v>-64.015152</v>
      </c>
      <c r="J6" s="46">
        <v>44824</v>
      </c>
      <c r="K6" s="47"/>
      <c r="L6" s="47" t="s">
        <v>131</v>
      </c>
      <c r="M6" s="45">
        <v>38.879128999999999</v>
      </c>
      <c r="N6" s="45">
        <v>-63.895172000000002</v>
      </c>
      <c r="O6" s="45">
        <v>1</v>
      </c>
      <c r="P6" s="45" t="s">
        <v>23</v>
      </c>
      <c r="Q6" s="48">
        <v>300434066482170</v>
      </c>
      <c r="R6" s="48" t="s">
        <v>36</v>
      </c>
      <c r="S6" s="49">
        <v>44823.822916666664</v>
      </c>
      <c r="T6" s="45">
        <v>38.886195999999998</v>
      </c>
      <c r="U6" s="45">
        <v>-64.012355999999997</v>
      </c>
      <c r="V6" s="49">
        <v>44824.329861111109</v>
      </c>
      <c r="W6" s="45">
        <v>38.854120000000002</v>
      </c>
      <c r="X6" s="45">
        <v>-63.966763999999998</v>
      </c>
      <c r="Y6" s="50">
        <f t="shared" si="2"/>
        <v>12.166666666686069</v>
      </c>
      <c r="Z6" s="51">
        <v>0.41666666666666669</v>
      </c>
      <c r="AA6" s="51">
        <v>0.92847222222222225</v>
      </c>
      <c r="AB6" s="45">
        <v>400</v>
      </c>
      <c r="AC6" s="45">
        <v>4</v>
      </c>
      <c r="AD6" s="45"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2" customFormat="1" ht="16" x14ac:dyDescent="0.2">
      <c r="A8" s="45">
        <v>7</v>
      </c>
      <c r="B8" s="45" t="s">
        <v>88</v>
      </c>
      <c r="C8" s="45">
        <v>4</v>
      </c>
      <c r="D8" s="45">
        <v>1</v>
      </c>
      <c r="E8" s="46">
        <v>44983</v>
      </c>
      <c r="F8" s="47"/>
      <c r="G8" s="41" t="s">
        <v>107</v>
      </c>
      <c r="H8" s="45"/>
      <c r="I8" s="45"/>
      <c r="J8" s="46"/>
      <c r="K8" s="47"/>
      <c r="L8" s="47" t="s">
        <v>108</v>
      </c>
      <c r="M8" s="45"/>
      <c r="N8" s="45"/>
      <c r="O8" s="45">
        <v>1</v>
      </c>
      <c r="P8" s="45" t="s">
        <v>23</v>
      </c>
      <c r="Q8" s="48">
        <v>300434066480130</v>
      </c>
      <c r="R8" s="48" t="s">
        <v>93</v>
      </c>
      <c r="S8" s="49">
        <v>44983.875324074077</v>
      </c>
      <c r="T8" s="45">
        <v>32.910995</v>
      </c>
      <c r="U8" s="45">
        <v>-117.74101400000001</v>
      </c>
      <c r="V8" s="49">
        <v>44984.385752314818</v>
      </c>
      <c r="W8" s="45">
        <v>32.911644000000003</v>
      </c>
      <c r="X8" s="45">
        <v>-117.73635299999999</v>
      </c>
      <c r="Y8" s="50">
        <f t="shared" si="2"/>
        <v>12.250277777784504</v>
      </c>
      <c r="Z8" s="51">
        <v>0.59861111111111109</v>
      </c>
      <c r="AA8" s="51">
        <v>7.3611111111111113E-2</v>
      </c>
      <c r="AB8" s="45">
        <v>250</v>
      </c>
      <c r="AC8" s="45"/>
      <c r="AD8" s="45"/>
    </row>
    <row r="9" spans="1:30" s="52" customFormat="1" ht="16" x14ac:dyDescent="0.2">
      <c r="A9" s="45">
        <v>7</v>
      </c>
      <c r="B9" s="45" t="s">
        <v>88</v>
      </c>
      <c r="C9" s="45">
        <v>4</v>
      </c>
      <c r="D9" s="45">
        <v>2</v>
      </c>
      <c r="E9" s="46">
        <v>44983</v>
      </c>
      <c r="F9" s="47"/>
      <c r="G9" s="41" t="s">
        <v>107</v>
      </c>
      <c r="H9" s="45"/>
      <c r="I9" s="45"/>
      <c r="J9" s="46"/>
      <c r="K9" s="47"/>
      <c r="L9" s="47" t="s">
        <v>108</v>
      </c>
      <c r="M9" s="45"/>
      <c r="N9" s="45"/>
      <c r="O9" s="45">
        <v>1</v>
      </c>
      <c r="P9" s="45" t="s">
        <v>23</v>
      </c>
      <c r="Q9" s="48">
        <v>300434066480130</v>
      </c>
      <c r="R9" s="48" t="s">
        <v>93</v>
      </c>
      <c r="S9" s="49">
        <v>44984.416990740741</v>
      </c>
      <c r="T9" s="45">
        <v>32.908870999999998</v>
      </c>
      <c r="U9" s="45">
        <v>-117.73746199999999</v>
      </c>
      <c r="V9" s="49">
        <v>44984.896157407406</v>
      </c>
      <c r="W9" s="45">
        <v>32.92512</v>
      </c>
      <c r="X9" s="45">
        <v>-117.753174</v>
      </c>
      <c r="Y9" s="50">
        <f t="shared" si="2"/>
        <v>11.499999999941792</v>
      </c>
      <c r="Z9" s="51">
        <v>0.59861111111111109</v>
      </c>
      <c r="AA9" s="51">
        <v>7.3611111111111113E-2</v>
      </c>
      <c r="AB9" s="45">
        <v>250</v>
      </c>
      <c r="AC9" s="45"/>
      <c r="AD9" s="45"/>
    </row>
    <row r="10" spans="1:30" s="52" customFormat="1" ht="16" x14ac:dyDescent="0.2">
      <c r="A10" s="45">
        <v>7</v>
      </c>
      <c r="B10" s="45" t="s">
        <v>88</v>
      </c>
      <c r="C10" s="45">
        <v>4</v>
      </c>
      <c r="D10" s="45">
        <v>3</v>
      </c>
      <c r="E10" s="46">
        <v>44983</v>
      </c>
      <c r="F10" s="47"/>
      <c r="G10" s="41" t="s">
        <v>107</v>
      </c>
      <c r="H10" s="45"/>
      <c r="I10" s="45"/>
      <c r="J10" s="46"/>
      <c r="K10" s="47"/>
      <c r="L10" s="47" t="s">
        <v>108</v>
      </c>
      <c r="M10" s="45"/>
      <c r="N10" s="45"/>
      <c r="O10" s="45">
        <v>1</v>
      </c>
      <c r="P10" s="45" t="s">
        <v>23</v>
      </c>
      <c r="Q10" s="48">
        <v>300434066480130</v>
      </c>
      <c r="R10" s="48" t="s">
        <v>93</v>
      </c>
      <c r="S10" s="49">
        <v>44984.896157407406</v>
      </c>
      <c r="T10" s="45">
        <v>32.92512</v>
      </c>
      <c r="U10" s="45">
        <v>-117.753174</v>
      </c>
      <c r="V10" s="49">
        <v>44985.399629629632</v>
      </c>
      <c r="W10" s="45">
        <v>32.922975999999998</v>
      </c>
      <c r="X10" s="45">
        <v>-117.769451</v>
      </c>
      <c r="Y10" s="50">
        <f t="shared" si="2"/>
        <v>12.083333333430346</v>
      </c>
      <c r="Z10" s="51">
        <v>0.59861111111111109</v>
      </c>
      <c r="AA10" s="51">
        <v>7.3611111111111113E-2</v>
      </c>
      <c r="AB10" s="45">
        <v>250</v>
      </c>
      <c r="AC10" s="45"/>
      <c r="AD10" s="45"/>
    </row>
    <row r="11" spans="1:30" s="52" customFormat="1" ht="16" x14ac:dyDescent="0.2">
      <c r="A11" s="45">
        <v>7</v>
      </c>
      <c r="B11" s="45" t="s">
        <v>88</v>
      </c>
      <c r="C11" s="45">
        <v>4</v>
      </c>
      <c r="D11" s="45">
        <v>4</v>
      </c>
      <c r="E11" s="46">
        <v>44983</v>
      </c>
      <c r="F11" s="47"/>
      <c r="G11" s="41" t="s">
        <v>107</v>
      </c>
      <c r="H11" s="45"/>
      <c r="I11" s="45"/>
      <c r="J11" s="46"/>
      <c r="K11" s="47"/>
      <c r="L11" s="47" t="s">
        <v>108</v>
      </c>
      <c r="M11" s="45"/>
      <c r="N11" s="45"/>
      <c r="O11" s="45">
        <v>1</v>
      </c>
      <c r="P11" s="45" t="s">
        <v>23</v>
      </c>
      <c r="Q11" s="48">
        <v>300434066480130</v>
      </c>
      <c r="R11" s="48" t="s">
        <v>93</v>
      </c>
      <c r="S11" s="49">
        <v>44985.403113425928</v>
      </c>
      <c r="T11" s="45">
        <v>32.922437000000002</v>
      </c>
      <c r="U11" s="45">
        <v>-117.76988799999999</v>
      </c>
      <c r="V11" s="49">
        <v>44985.885740740741</v>
      </c>
      <c r="W11" s="45">
        <v>32.938851</v>
      </c>
      <c r="X11" s="45">
        <v>-117.768916</v>
      </c>
      <c r="Y11" s="50">
        <f t="shared" si="2"/>
        <v>11.583055555529427</v>
      </c>
      <c r="Z11" s="51">
        <v>0.59861111111111109</v>
      </c>
      <c r="AA11" s="51">
        <v>7.3611111111111113E-2</v>
      </c>
      <c r="AB11" s="45">
        <v>250</v>
      </c>
      <c r="AC11" s="45"/>
      <c r="AD11" s="45"/>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2" customFormat="1" ht="16" x14ac:dyDescent="0.2">
      <c r="A14" s="45">
        <v>9</v>
      </c>
      <c r="B14" s="45" t="s">
        <v>88</v>
      </c>
      <c r="C14" s="45">
        <v>6</v>
      </c>
      <c r="D14" s="45">
        <v>1</v>
      </c>
      <c r="E14" s="46">
        <v>44985</v>
      </c>
      <c r="F14" s="47"/>
      <c r="G14" s="41" t="s">
        <v>111</v>
      </c>
      <c r="H14" s="45">
        <v>32.912492</v>
      </c>
      <c r="I14" s="45">
        <v>-117.69094200000001</v>
      </c>
      <c r="J14" s="46"/>
      <c r="K14" s="47"/>
      <c r="L14" s="47" t="s">
        <v>112</v>
      </c>
      <c r="M14" s="45"/>
      <c r="N14" s="45"/>
      <c r="O14" s="45">
        <v>4</v>
      </c>
      <c r="P14" s="45" t="s">
        <v>30</v>
      </c>
      <c r="Q14" s="48">
        <v>300434066489180</v>
      </c>
      <c r="R14" s="48" t="s">
        <v>95</v>
      </c>
      <c r="S14" s="49">
        <v>44985.715925925928</v>
      </c>
      <c r="T14" s="45">
        <v>32.911934000000002</v>
      </c>
      <c r="U14" s="45">
        <v>-117.691322</v>
      </c>
      <c r="V14" s="49">
        <v>44985.788761574076</v>
      </c>
      <c r="W14" s="45">
        <v>32.910586000000002</v>
      </c>
      <c r="X14" s="45">
        <v>-117.69389</v>
      </c>
      <c r="Y14" s="50">
        <f t="shared" si="2"/>
        <v>1.7480555555666797</v>
      </c>
      <c r="Z14" s="51">
        <v>0.59861111111111109</v>
      </c>
      <c r="AA14" s="51">
        <v>7.3611111111111113E-2</v>
      </c>
      <c r="AB14" s="45">
        <v>250</v>
      </c>
      <c r="AC14" s="45"/>
      <c r="AD14" s="45"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2" customFormat="1" ht="16" x14ac:dyDescent="0.2">
      <c r="A16" s="45">
        <v>11</v>
      </c>
      <c r="B16" s="45" t="s">
        <v>87</v>
      </c>
      <c r="C16" s="45">
        <v>4</v>
      </c>
      <c r="D16" s="45">
        <v>1</v>
      </c>
      <c r="E16" s="46">
        <v>45084</v>
      </c>
      <c r="F16" s="47"/>
      <c r="G16" s="41" t="s">
        <v>99</v>
      </c>
      <c r="H16" s="45"/>
      <c r="I16" s="45"/>
      <c r="J16" s="46"/>
      <c r="K16" s="47"/>
      <c r="L16" s="47" t="s">
        <v>100</v>
      </c>
      <c r="M16" s="45"/>
      <c r="N16" s="45"/>
      <c r="O16" s="45">
        <v>1</v>
      </c>
      <c r="P16" s="45" t="s">
        <v>23</v>
      </c>
      <c r="Q16" s="48">
        <v>300434066482170</v>
      </c>
      <c r="R16" s="48" t="s">
        <v>93</v>
      </c>
      <c r="S16" s="49">
        <v>45084.72278935185</v>
      </c>
      <c r="T16" s="45">
        <v>32.907145</v>
      </c>
      <c r="U16" s="45">
        <v>-117.747221</v>
      </c>
      <c r="V16" s="49">
        <v>45085.253900462965</v>
      </c>
      <c r="W16" s="45">
        <v>32.939883999999999</v>
      </c>
      <c r="X16" s="45">
        <v>-117.83437499999999</v>
      </c>
      <c r="Y16" s="50">
        <f t="shared" si="2"/>
        <v>12.746666666760575</v>
      </c>
      <c r="Z16" s="51">
        <v>0.52916666666666667</v>
      </c>
      <c r="AA16" s="51">
        <v>0.12291666666666667</v>
      </c>
      <c r="AB16" s="45">
        <v>250</v>
      </c>
      <c r="AC16" s="45"/>
      <c r="AD16" s="45"/>
    </row>
    <row r="17" spans="1:30" s="52" customFormat="1" ht="16" x14ac:dyDescent="0.2">
      <c r="A17" s="45">
        <v>11</v>
      </c>
      <c r="B17" s="45" t="s">
        <v>87</v>
      </c>
      <c r="C17" s="45">
        <v>4</v>
      </c>
      <c r="D17" s="45">
        <v>2</v>
      </c>
      <c r="E17" s="46">
        <v>45084</v>
      </c>
      <c r="F17" s="47"/>
      <c r="G17" s="41" t="s">
        <v>99</v>
      </c>
      <c r="H17" s="45"/>
      <c r="I17" s="45"/>
      <c r="J17" s="46"/>
      <c r="K17" s="47"/>
      <c r="L17" s="47" t="s">
        <v>100</v>
      </c>
      <c r="M17" s="45"/>
      <c r="N17" s="45"/>
      <c r="O17" s="45">
        <v>1</v>
      </c>
      <c r="P17" s="45" t="s">
        <v>23</v>
      </c>
      <c r="Q17" s="48">
        <v>300434066482170</v>
      </c>
      <c r="R17" s="48" t="s">
        <v>93</v>
      </c>
      <c r="S17" s="53">
        <v>45085.26767361111</v>
      </c>
      <c r="T17" s="54">
        <v>32.939607000000002</v>
      </c>
      <c r="U17" s="54">
        <v>-117.834576</v>
      </c>
      <c r="V17" s="53">
        <v>45085.753796296296</v>
      </c>
      <c r="W17" s="54">
        <v>32.963126000000003</v>
      </c>
      <c r="X17" s="54">
        <v>-117.875584</v>
      </c>
      <c r="Y17" s="50">
        <f t="shared" si="2"/>
        <v>11.666944444470573</v>
      </c>
      <c r="Z17" s="51">
        <v>0.52916666666666667</v>
      </c>
      <c r="AA17" s="51">
        <v>0.12291666666666667</v>
      </c>
      <c r="AB17" s="45">
        <v>250</v>
      </c>
      <c r="AC17" s="45"/>
      <c r="AD17" s="45"/>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6" customFormat="1" ht="16" x14ac:dyDescent="0.2">
      <c r="A20" s="45">
        <v>13</v>
      </c>
      <c r="B20" s="45" t="s">
        <v>41</v>
      </c>
      <c r="C20" s="45">
        <v>6</v>
      </c>
      <c r="D20" s="45">
        <v>1</v>
      </c>
      <c r="E20" s="46">
        <v>45176</v>
      </c>
      <c r="F20" s="47">
        <v>0.37708333333333338</v>
      </c>
      <c r="G20" s="41">
        <f>$E20+$F20+TIME(AC20,0,0)</f>
        <v>45176.668749999997</v>
      </c>
      <c r="H20" s="45">
        <v>32.910367999999998</v>
      </c>
      <c r="I20" s="45">
        <v>-117.737223</v>
      </c>
      <c r="J20" s="46">
        <v>45180</v>
      </c>
      <c r="K20" s="47">
        <v>0.25</v>
      </c>
      <c r="L20" s="55">
        <f>$J20+$K20 +TIME($AC20,0,0)</f>
        <v>45180.541666666664</v>
      </c>
      <c r="M20" s="45"/>
      <c r="N20" s="45"/>
      <c r="O20" s="45">
        <v>4</v>
      </c>
      <c r="P20" s="45" t="s">
        <v>30</v>
      </c>
      <c r="Q20" s="48">
        <v>300434066480130</v>
      </c>
      <c r="R20" s="48" t="s">
        <v>95</v>
      </c>
      <c r="S20" s="53">
        <v>45176.681122685186</v>
      </c>
      <c r="T20" s="54">
        <v>32.911997999999997</v>
      </c>
      <c r="U20" s="54">
        <v>-117.736034</v>
      </c>
      <c r="V20" s="53">
        <v>45180.389189814814</v>
      </c>
      <c r="W20" s="54">
        <v>32.880761</v>
      </c>
      <c r="X20" s="54">
        <v>-117.434878</v>
      </c>
      <c r="Y20" s="50">
        <f t="shared" si="2"/>
        <v>88.993611111072823</v>
      </c>
      <c r="Z20" s="51">
        <v>0.57361111111111118</v>
      </c>
      <c r="AA20" s="51">
        <v>6.2847222222222221E-2</v>
      </c>
      <c r="AB20" s="45">
        <v>250</v>
      </c>
      <c r="AC20" s="45">
        <v>7</v>
      </c>
      <c r="AD20" s="45"/>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6" customFormat="1" ht="15.75" customHeight="1" x14ac:dyDescent="0.2">
      <c r="A22" s="45">
        <v>15</v>
      </c>
      <c r="B22" s="45" t="s">
        <v>40</v>
      </c>
      <c r="C22" s="45">
        <v>5</v>
      </c>
      <c r="D22" s="45">
        <v>1</v>
      </c>
      <c r="E22" s="46">
        <v>45203</v>
      </c>
      <c r="F22" s="47">
        <v>0.29444444444444445</v>
      </c>
      <c r="G22" s="41">
        <f t="shared" si="3"/>
        <v>45203.461111111108</v>
      </c>
      <c r="H22" s="45">
        <v>38.708799999999997</v>
      </c>
      <c r="I22" s="45">
        <v>-64.031542999999999</v>
      </c>
      <c r="J22" s="46">
        <v>45205</v>
      </c>
      <c r="K22" s="47">
        <v>0.37847222222222227</v>
      </c>
      <c r="L22" s="55">
        <f t="shared" si="4"/>
        <v>45205.545138888883</v>
      </c>
      <c r="M22" s="45">
        <v>38.943779999999997</v>
      </c>
      <c r="N22" s="45">
        <v>-64.196479999999994</v>
      </c>
      <c r="O22" s="45">
        <v>3</v>
      </c>
      <c r="P22" s="45" t="s">
        <v>29</v>
      </c>
      <c r="Q22" s="48">
        <v>300434066482170</v>
      </c>
      <c r="R22" s="48" t="s">
        <v>37</v>
      </c>
      <c r="S22" s="49">
        <v>45203.535277777781</v>
      </c>
      <c r="T22" s="54">
        <v>38.722087999999999</v>
      </c>
      <c r="U22" s="54">
        <v>-64.021294999999995</v>
      </c>
      <c r="V22" s="49">
        <v>45204.719074074077</v>
      </c>
      <c r="W22" s="54">
        <v>38.866824999999999</v>
      </c>
      <c r="X22" s="54">
        <v>-64.043930000000003</v>
      </c>
      <c r="Y22" s="50">
        <f t="shared" si="2"/>
        <v>28.411111111112405</v>
      </c>
      <c r="Z22" s="51">
        <v>0.42708333333333331</v>
      </c>
      <c r="AA22" s="51">
        <v>0.91180555555555554</v>
      </c>
      <c r="AB22" s="45">
        <v>300</v>
      </c>
      <c r="AC22" s="45">
        <v>4</v>
      </c>
      <c r="AD22" s="45" t="s">
        <v>49</v>
      </c>
    </row>
    <row r="23" spans="1:30" s="56" customFormat="1" ht="15.75" customHeight="1" x14ac:dyDescent="0.2">
      <c r="A23" s="45">
        <v>15</v>
      </c>
      <c r="B23" s="45" t="s">
        <v>40</v>
      </c>
      <c r="C23" s="45">
        <v>5</v>
      </c>
      <c r="D23" s="45">
        <v>2</v>
      </c>
      <c r="E23" s="46">
        <v>45203</v>
      </c>
      <c r="F23" s="47">
        <v>0.29444444444444445</v>
      </c>
      <c r="G23" s="41">
        <f t="shared" si="3"/>
        <v>45203.461111111108</v>
      </c>
      <c r="H23" s="45">
        <v>38.708799999999997</v>
      </c>
      <c r="I23" s="45">
        <v>-64.031542999999999</v>
      </c>
      <c r="J23" s="46">
        <v>45205</v>
      </c>
      <c r="K23" s="47">
        <v>0.37847222222222227</v>
      </c>
      <c r="L23" s="55">
        <f t="shared" si="4"/>
        <v>45205.545138888883</v>
      </c>
      <c r="M23" s="45">
        <v>38.943779999999997</v>
      </c>
      <c r="N23" s="45">
        <v>-64.196479999999994</v>
      </c>
      <c r="O23" s="45">
        <v>3</v>
      </c>
      <c r="P23" s="45" t="s">
        <v>29</v>
      </c>
      <c r="Q23" s="48">
        <v>300434066482170</v>
      </c>
      <c r="R23" s="48" t="s">
        <v>37</v>
      </c>
      <c r="S23" s="53">
        <v>45204.812939814816</v>
      </c>
      <c r="T23" s="54">
        <v>38.887227000000003</v>
      </c>
      <c r="U23" s="54">
        <v>-64.073801000000003</v>
      </c>
      <c r="V23" s="53">
        <v>45205.389224537037</v>
      </c>
      <c r="W23" s="54">
        <v>38.930204000000003</v>
      </c>
      <c r="X23" s="54">
        <v>-64.167721999999998</v>
      </c>
      <c r="Y23" s="50">
        <f t="shared" si="2"/>
        <v>13.830833333311602</v>
      </c>
      <c r="Z23" s="51">
        <v>0.42708333333333331</v>
      </c>
      <c r="AA23" s="51">
        <v>0.91180555555555554</v>
      </c>
      <c r="AB23" s="45">
        <v>300</v>
      </c>
      <c r="AC23" s="45">
        <v>4</v>
      </c>
      <c r="AD23" s="45"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6" customFormat="1" ht="15.75" customHeight="1" x14ac:dyDescent="0.2">
      <c r="A26" s="45">
        <v>17</v>
      </c>
      <c r="B26" s="45" t="s">
        <v>40</v>
      </c>
      <c r="C26" s="45">
        <v>6</v>
      </c>
      <c r="D26" s="45">
        <v>1</v>
      </c>
      <c r="E26" s="46">
        <v>45207</v>
      </c>
      <c r="F26" s="47">
        <v>0.92152777777777783</v>
      </c>
      <c r="G26" s="41">
        <f t="shared" si="3"/>
        <v>45208.088194444441</v>
      </c>
      <c r="H26" s="45">
        <v>38.767780000000002</v>
      </c>
      <c r="I26" s="45">
        <v>-63.738374</v>
      </c>
      <c r="J26" s="46">
        <v>45210</v>
      </c>
      <c r="K26" s="47">
        <v>0.40625</v>
      </c>
      <c r="L26" s="55">
        <f t="shared" si="4"/>
        <v>45210.572916666664</v>
      </c>
      <c r="M26" s="56">
        <v>38.954067000000002</v>
      </c>
      <c r="N26" s="45">
        <v>-63.862921999999998</v>
      </c>
      <c r="O26" s="45">
        <v>4</v>
      </c>
      <c r="P26" s="45" t="s">
        <v>29</v>
      </c>
      <c r="Q26" s="48">
        <v>300434066480130</v>
      </c>
      <c r="R26" s="48" t="s">
        <v>44</v>
      </c>
      <c r="S26" s="53">
        <v>45208.132511574076</v>
      </c>
      <c r="T26" s="57">
        <v>38.769841999999997</v>
      </c>
      <c r="U26" s="57">
        <v>-63.7483</v>
      </c>
      <c r="V26" s="53">
        <v>45208.63921296296</v>
      </c>
      <c r="W26" s="57">
        <v>38.832385000000002</v>
      </c>
      <c r="X26" s="57">
        <v>-63.796340000000001</v>
      </c>
      <c r="Y26" s="50">
        <f t="shared" si="2"/>
        <v>12.160833333211485</v>
      </c>
      <c r="Z26" s="51">
        <v>0.42708333333333298</v>
      </c>
      <c r="AA26" s="51">
        <v>0.91180555555555598</v>
      </c>
      <c r="AB26" s="45">
        <v>200</v>
      </c>
      <c r="AC26" s="45">
        <v>4</v>
      </c>
      <c r="AD26" s="45"/>
    </row>
    <row r="27" spans="1:30" s="56" customFormat="1" ht="15.75" customHeight="1" x14ac:dyDescent="0.2">
      <c r="A27" s="45">
        <v>17</v>
      </c>
      <c r="B27" s="45" t="s">
        <v>40</v>
      </c>
      <c r="C27" s="45">
        <v>6</v>
      </c>
      <c r="D27" s="45">
        <v>2</v>
      </c>
      <c r="E27" s="46">
        <v>45207</v>
      </c>
      <c r="F27" s="47">
        <v>0.92152777777777783</v>
      </c>
      <c r="G27" s="41">
        <f t="shared" si="3"/>
        <v>45208.088194444441</v>
      </c>
      <c r="H27" s="45">
        <v>38.767780000000002</v>
      </c>
      <c r="I27" s="45">
        <v>-63.738374</v>
      </c>
      <c r="J27" s="46">
        <v>45210</v>
      </c>
      <c r="K27" s="47">
        <v>0.40625</v>
      </c>
      <c r="L27" s="55">
        <f t="shared" si="4"/>
        <v>45210.572916666664</v>
      </c>
      <c r="M27" s="56">
        <v>38.954067000000002</v>
      </c>
      <c r="N27" s="45">
        <v>-63.862921999999998</v>
      </c>
      <c r="O27" s="45">
        <v>4</v>
      </c>
      <c r="P27" s="45" t="s">
        <v>29</v>
      </c>
      <c r="Q27" s="48">
        <v>300434066480130</v>
      </c>
      <c r="R27" s="48" t="s">
        <v>44</v>
      </c>
      <c r="S27" s="53">
        <v>45208.771828703706</v>
      </c>
      <c r="T27" s="57">
        <v>38.857106999999999</v>
      </c>
      <c r="U27" s="57">
        <v>-63.781923999999997</v>
      </c>
      <c r="V27" s="53">
        <v>45209.656574074077</v>
      </c>
      <c r="W27" s="57">
        <v>38.923247000000003</v>
      </c>
      <c r="X27" s="57">
        <v>-63.812421999999998</v>
      </c>
      <c r="Y27" s="50">
        <f t="shared" si="2"/>
        <v>21.233888888906222</v>
      </c>
      <c r="Z27" s="51">
        <v>0.42708333333333298</v>
      </c>
      <c r="AA27" s="51">
        <v>0.91180555555555598</v>
      </c>
      <c r="AB27" s="45">
        <v>300</v>
      </c>
      <c r="AC27" s="45">
        <v>4</v>
      </c>
      <c r="AD27" s="45"/>
    </row>
    <row r="28" spans="1:30" s="56" customFormat="1" ht="15.75" customHeight="1" x14ac:dyDescent="0.2">
      <c r="A28" s="45">
        <v>17</v>
      </c>
      <c r="B28" s="45" t="s">
        <v>40</v>
      </c>
      <c r="C28" s="45">
        <v>6</v>
      </c>
      <c r="D28" s="45">
        <v>3</v>
      </c>
      <c r="E28" s="46">
        <v>45207</v>
      </c>
      <c r="F28" s="47">
        <v>0.92152777777777783</v>
      </c>
      <c r="G28" s="41">
        <f t="shared" si="3"/>
        <v>45208.088194444441</v>
      </c>
      <c r="H28" s="45">
        <v>38.767780000000002</v>
      </c>
      <c r="I28" s="45">
        <v>-63.738374</v>
      </c>
      <c r="J28" s="46">
        <v>45210</v>
      </c>
      <c r="K28" s="47">
        <v>0.40625</v>
      </c>
      <c r="L28" s="55">
        <f t="shared" si="4"/>
        <v>45210.572916666664</v>
      </c>
      <c r="M28" s="56">
        <v>38.954067000000002</v>
      </c>
      <c r="N28" s="45">
        <v>-63.862921999999998</v>
      </c>
      <c r="O28" s="45">
        <v>4</v>
      </c>
      <c r="P28" s="45" t="s">
        <v>29</v>
      </c>
      <c r="Q28" s="48">
        <v>300434066480130</v>
      </c>
      <c r="R28" s="48" t="s">
        <v>44</v>
      </c>
      <c r="S28" s="53">
        <v>45209.750567129631</v>
      </c>
      <c r="T28" s="57">
        <v>38.923658000000003</v>
      </c>
      <c r="U28" s="57">
        <v>-63.819659000000001</v>
      </c>
      <c r="V28" s="53">
        <v>45210.542002314818</v>
      </c>
      <c r="W28" s="57">
        <v>38.940576999999998</v>
      </c>
      <c r="X28" s="57">
        <v>-63.867663</v>
      </c>
      <c r="Y28" s="50">
        <f t="shared" si="2"/>
        <v>18.994444444484543</v>
      </c>
      <c r="Z28" s="51">
        <v>0.42708333333333298</v>
      </c>
      <c r="AA28" s="51">
        <v>0.91180555555555598</v>
      </c>
      <c r="AB28" s="45">
        <v>200</v>
      </c>
      <c r="AC28" s="45">
        <v>4</v>
      </c>
      <c r="AD28" s="45"/>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6" customFormat="1" ht="15.75" customHeight="1" x14ac:dyDescent="0.2">
      <c r="A31" s="45">
        <v>19</v>
      </c>
      <c r="B31" s="45" t="s">
        <v>40</v>
      </c>
      <c r="C31" s="45">
        <v>5</v>
      </c>
      <c r="D31" s="45">
        <v>1</v>
      </c>
      <c r="E31" s="46">
        <v>45208</v>
      </c>
      <c r="F31" s="47">
        <v>0.59722222222222221</v>
      </c>
      <c r="G31" s="41">
        <f t="shared" si="3"/>
        <v>45208.763888888883</v>
      </c>
      <c r="H31" s="45">
        <v>38.826842999999997</v>
      </c>
      <c r="I31" s="45">
        <v>-63.845635000000001</v>
      </c>
      <c r="J31" s="46">
        <v>45209</v>
      </c>
      <c r="K31" s="47">
        <v>0.36805555555555558</v>
      </c>
      <c r="L31" s="55">
        <f t="shared" si="4"/>
        <v>45209.534722222219</v>
      </c>
      <c r="M31" s="45">
        <v>38.862192</v>
      </c>
      <c r="N31" s="45">
        <v>-63.908256999999999</v>
      </c>
      <c r="O31" s="45">
        <v>3</v>
      </c>
      <c r="P31" s="45" t="s">
        <v>29</v>
      </c>
      <c r="Q31" s="48">
        <v>300434066482170</v>
      </c>
      <c r="R31" s="48" t="s">
        <v>37</v>
      </c>
      <c r="S31" s="53">
        <v>45208.77138888889</v>
      </c>
      <c r="T31" s="57">
        <v>38.827702000000002</v>
      </c>
      <c r="U31" s="57">
        <v>-63.844456999999998</v>
      </c>
      <c r="V31" s="49">
        <v>45209.26421296296</v>
      </c>
      <c r="W31" s="57">
        <v>38.862524999999998</v>
      </c>
      <c r="X31" s="57">
        <v>-63.894246000000003</v>
      </c>
      <c r="Y31" s="50">
        <f t="shared" si="2"/>
        <v>11.827777777682059</v>
      </c>
      <c r="Z31" s="51">
        <v>0.42708333333333298</v>
      </c>
      <c r="AA31" s="51">
        <v>0.91180555555555598</v>
      </c>
      <c r="AB31" s="45">
        <v>100</v>
      </c>
      <c r="AC31" s="45">
        <v>4</v>
      </c>
      <c r="AD31" s="45"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6" customFormat="1" ht="15.75" customHeight="1" x14ac:dyDescent="0.2">
      <c r="A34" s="45">
        <v>21</v>
      </c>
      <c r="B34" s="45" t="s">
        <v>40</v>
      </c>
      <c r="C34" s="45">
        <v>4</v>
      </c>
      <c r="D34" s="45">
        <v>1</v>
      </c>
      <c r="E34" s="46">
        <v>45211</v>
      </c>
      <c r="F34" s="47">
        <v>0.60416666666666663</v>
      </c>
      <c r="G34" s="41">
        <f t="shared" si="3"/>
        <v>45211.770833333328</v>
      </c>
      <c r="H34" s="45">
        <v>38.834505</v>
      </c>
      <c r="I34" s="45">
        <v>-63.75074</v>
      </c>
      <c r="J34" s="46">
        <v>45212</v>
      </c>
      <c r="K34" s="47">
        <v>0.54166666666666663</v>
      </c>
      <c r="L34" s="55">
        <f t="shared" si="4"/>
        <v>45212.708333333328</v>
      </c>
      <c r="M34" s="45">
        <v>38.856884999999998</v>
      </c>
      <c r="N34" s="45">
        <v>-63.746738999999998</v>
      </c>
      <c r="O34" s="45">
        <v>1</v>
      </c>
      <c r="P34" s="45" t="s">
        <v>23</v>
      </c>
      <c r="Q34" s="48">
        <v>300434066489180</v>
      </c>
      <c r="R34" s="48" t="s">
        <v>43</v>
      </c>
      <c r="S34" s="53">
        <v>45211.834328703706</v>
      </c>
      <c r="T34" s="57">
        <v>38.831561999999998</v>
      </c>
      <c r="U34" s="57">
        <v>-63.740231999999999</v>
      </c>
      <c r="V34" s="58">
        <v>45212.541990740741</v>
      </c>
      <c r="W34" s="57">
        <v>38.884850999999998</v>
      </c>
      <c r="X34" s="57">
        <v>-63.740850999999999</v>
      </c>
      <c r="Y34" s="50">
        <f t="shared" si="2"/>
        <v>16.983888888848014</v>
      </c>
      <c r="Z34" s="51">
        <v>0.42708333333333298</v>
      </c>
      <c r="AA34" s="51">
        <v>0.91180555555555598</v>
      </c>
      <c r="AB34" s="45">
        <v>125</v>
      </c>
      <c r="AC34" s="45">
        <v>4</v>
      </c>
      <c r="AD34" s="45"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2" customFormat="1" ht="15.75" customHeight="1" x14ac:dyDescent="0.2">
      <c r="A36" s="45">
        <v>23</v>
      </c>
      <c r="B36" s="45" t="s">
        <v>96</v>
      </c>
      <c r="C36" s="45">
        <v>5</v>
      </c>
      <c r="D36" s="45">
        <v>1</v>
      </c>
      <c r="E36" s="46">
        <v>45317</v>
      </c>
      <c r="F36" s="47">
        <v>0.50972222222222219</v>
      </c>
      <c r="G36" s="41">
        <f t="shared" si="3"/>
        <v>45317.843055555561</v>
      </c>
      <c r="H36" s="45"/>
      <c r="I36" s="45"/>
      <c r="J36" s="46">
        <v>45320</v>
      </c>
      <c r="K36" s="47">
        <v>0.57291666666666663</v>
      </c>
      <c r="L36" s="55">
        <f t="shared" si="4"/>
        <v>45320.90625</v>
      </c>
      <c r="M36" s="45"/>
      <c r="N36" s="45"/>
      <c r="O36" s="45">
        <v>3</v>
      </c>
      <c r="P36" s="45" t="s">
        <v>29</v>
      </c>
      <c r="Q36" s="48">
        <v>300434066482170</v>
      </c>
      <c r="R36" s="48" t="s">
        <v>37</v>
      </c>
      <c r="S36" s="49">
        <v>45317.875324074077</v>
      </c>
      <c r="T36" s="69">
        <v>32.909129</v>
      </c>
      <c r="U36" s="69">
        <v>-117.680663</v>
      </c>
      <c r="V36" s="49">
        <v>45318.878796296296</v>
      </c>
      <c r="W36" s="45">
        <v>32.999972</v>
      </c>
      <c r="X36" s="45">
        <v>-117.66408699999999</v>
      </c>
      <c r="Y36" s="50">
        <f t="shared" si="2"/>
        <v>24.083333333255723</v>
      </c>
      <c r="Z36" s="51">
        <v>0.6166666666666667</v>
      </c>
      <c r="AA36" s="51">
        <v>5.2777777777777778E-2</v>
      </c>
      <c r="AB36" s="45"/>
      <c r="AC36" s="45">
        <v>8</v>
      </c>
      <c r="AD36" s="45" t="s">
        <v>97</v>
      </c>
    </row>
    <row r="37" spans="1:30" s="52" customFormat="1" ht="15.75" customHeight="1" x14ac:dyDescent="0.2">
      <c r="A37" s="45">
        <v>23</v>
      </c>
      <c r="B37" s="45" t="s">
        <v>96</v>
      </c>
      <c r="C37" s="45">
        <v>5</v>
      </c>
      <c r="D37" s="45">
        <v>2</v>
      </c>
      <c r="E37" s="46">
        <v>45317</v>
      </c>
      <c r="F37" s="47">
        <v>0.50972222222222219</v>
      </c>
      <c r="G37" s="41">
        <f t="shared" si="3"/>
        <v>45317.843055555561</v>
      </c>
      <c r="H37" s="45"/>
      <c r="I37" s="45"/>
      <c r="J37" s="46">
        <v>45320</v>
      </c>
      <c r="K37" s="47">
        <v>0.57291666666666663</v>
      </c>
      <c r="L37" s="55">
        <f t="shared" si="4"/>
        <v>45320.90625</v>
      </c>
      <c r="M37" s="45"/>
      <c r="N37" s="45"/>
      <c r="O37" s="45">
        <v>3</v>
      </c>
      <c r="P37" s="45" t="s">
        <v>29</v>
      </c>
      <c r="Q37" s="48">
        <v>300434066482170</v>
      </c>
      <c r="R37" s="48" t="s">
        <v>37</v>
      </c>
      <c r="S37" s="49">
        <v>45318.931122685186</v>
      </c>
      <c r="T37" s="69">
        <v>33.001423000000003</v>
      </c>
      <c r="U37" s="69">
        <v>-117.65347800000001</v>
      </c>
      <c r="V37" s="49">
        <v>45319.878796296296</v>
      </c>
      <c r="W37" s="45">
        <v>33.117448000000003</v>
      </c>
      <c r="X37" s="45">
        <v>-117.6035</v>
      </c>
      <c r="Y37" s="50">
        <f t="shared" si="2"/>
        <v>22.744166666641831</v>
      </c>
      <c r="Z37" s="51">
        <v>0.6166666666666667</v>
      </c>
      <c r="AA37" s="51">
        <v>5.2777777777777778E-2</v>
      </c>
      <c r="AB37" s="45"/>
      <c r="AC37" s="45">
        <v>8</v>
      </c>
      <c r="AD37" s="45" t="s">
        <v>97</v>
      </c>
    </row>
    <row r="38" spans="1:30" s="52" customFormat="1" ht="15.75" customHeight="1" x14ac:dyDescent="0.2">
      <c r="A38" s="45">
        <v>23</v>
      </c>
      <c r="B38" s="45" t="s">
        <v>96</v>
      </c>
      <c r="C38" s="45">
        <v>5</v>
      </c>
      <c r="D38" s="45">
        <v>3</v>
      </c>
      <c r="E38" s="46">
        <v>45317</v>
      </c>
      <c r="F38" s="47">
        <v>0.50972222222222219</v>
      </c>
      <c r="G38" s="41">
        <f t="shared" si="3"/>
        <v>45317.843055555561</v>
      </c>
      <c r="H38" s="45"/>
      <c r="I38" s="45"/>
      <c r="J38" s="46">
        <v>45320</v>
      </c>
      <c r="K38" s="47">
        <v>0.57291666666666663</v>
      </c>
      <c r="L38" s="55">
        <f t="shared" si="4"/>
        <v>45320.90625</v>
      </c>
      <c r="M38" s="45"/>
      <c r="N38" s="45"/>
      <c r="O38" s="45">
        <v>3</v>
      </c>
      <c r="P38" s="45" t="s">
        <v>29</v>
      </c>
      <c r="Q38" s="48">
        <v>300434066482170</v>
      </c>
      <c r="R38" s="48" t="s">
        <v>37</v>
      </c>
      <c r="S38" s="49">
        <v>45319.910034722219</v>
      </c>
      <c r="T38" s="70">
        <v>33.123451000000003</v>
      </c>
      <c r="U38" s="70">
        <v>-117.600043</v>
      </c>
      <c r="V38" s="49">
        <v>45320.89980324074</v>
      </c>
      <c r="W38" s="70">
        <v>33.200189999999999</v>
      </c>
      <c r="X38" s="70">
        <v>-117.597759</v>
      </c>
      <c r="Y38" s="50">
        <f t="shared" ref="Y38" si="5">(V38-S38)*1440/60</f>
        <v>23.754444444493856</v>
      </c>
      <c r="Z38" s="51">
        <v>0.6166666666666667</v>
      </c>
      <c r="AA38" s="51">
        <v>5.2777777777777778E-2</v>
      </c>
      <c r="AB38" s="45"/>
      <c r="AC38" s="45">
        <v>8</v>
      </c>
      <c r="AD38" s="45"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1">
        <v>32.907333000000001</v>
      </c>
      <c r="U39" s="71">
        <v>-117.67442</v>
      </c>
      <c r="V39" s="28">
        <v>45318.882280092592</v>
      </c>
      <c r="W39" s="71">
        <v>33.012383</v>
      </c>
      <c r="X39" s="71">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1">
        <v>33.012383</v>
      </c>
      <c r="U40" s="71">
        <v>-117.66186500000001</v>
      </c>
      <c r="V40" s="28">
        <v>45320.848263888889</v>
      </c>
      <c r="W40" s="71">
        <v>33.115271</v>
      </c>
      <c r="X40" s="71">
        <v>-117.89773700000001</v>
      </c>
      <c r="Y40" s="25">
        <f t="shared" ref="Y40" si="7">(V40-S40)*1440/60</f>
        <v>47.183611111133359</v>
      </c>
      <c r="Z40" s="26">
        <v>0.6166666666666667</v>
      </c>
      <c r="AA40" s="26">
        <v>5.2777777777777778E-2</v>
      </c>
      <c r="AB40" s="20"/>
      <c r="AC40" s="20">
        <v>8</v>
      </c>
      <c r="AD40" s="20" t="s">
        <v>98</v>
      </c>
    </row>
    <row r="41" spans="1:30" s="52" customFormat="1" ht="15.75" customHeight="1" x14ac:dyDescent="0.2">
      <c r="A41" s="45">
        <v>25</v>
      </c>
      <c r="B41" s="45" t="s">
        <v>114</v>
      </c>
      <c r="C41" s="45">
        <v>5</v>
      </c>
      <c r="D41" s="45">
        <v>1</v>
      </c>
      <c r="E41" s="46">
        <v>45425</v>
      </c>
      <c r="F41" s="47"/>
      <c r="G41" s="41" t="s">
        <v>124</v>
      </c>
      <c r="H41" s="45"/>
      <c r="I41" s="45"/>
      <c r="J41" s="46"/>
      <c r="K41" s="47"/>
      <c r="L41" s="55" t="s">
        <v>125</v>
      </c>
      <c r="M41" s="45"/>
      <c r="N41" s="45"/>
      <c r="O41" s="45">
        <v>3</v>
      </c>
      <c r="P41" s="45" t="s">
        <v>29</v>
      </c>
      <c r="Q41" s="48">
        <v>300434066482170</v>
      </c>
      <c r="R41" s="48" t="s">
        <v>37</v>
      </c>
      <c r="S41" s="53"/>
      <c r="T41" s="70"/>
      <c r="U41" s="70"/>
      <c r="V41" s="53"/>
      <c r="W41" s="70"/>
      <c r="X41" s="70"/>
      <c r="Y41" s="50"/>
      <c r="Z41" s="51"/>
      <c r="AA41" s="51"/>
      <c r="AB41" s="45"/>
      <c r="AC41" s="45"/>
      <c r="AD41" s="45"/>
    </row>
    <row r="42" spans="1:30" s="84" customFormat="1" ht="15.75" customHeight="1" x14ac:dyDescent="0.2">
      <c r="A42" s="67">
        <v>26</v>
      </c>
      <c r="B42" s="67" t="s">
        <v>114</v>
      </c>
      <c r="C42" s="67">
        <v>5</v>
      </c>
      <c r="D42" s="67">
        <v>1</v>
      </c>
      <c r="E42" s="77">
        <v>45429</v>
      </c>
      <c r="F42" s="78">
        <v>0.43533564814814812</v>
      </c>
      <c r="G42" s="78" t="s">
        <v>115</v>
      </c>
      <c r="H42" s="67"/>
      <c r="I42" s="67"/>
      <c r="J42" s="77">
        <v>45432</v>
      </c>
      <c r="K42" s="78">
        <v>0.52296296296296296</v>
      </c>
      <c r="L42" s="78" t="s">
        <v>116</v>
      </c>
      <c r="M42" s="67"/>
      <c r="N42" s="67"/>
      <c r="O42" s="67">
        <v>3</v>
      </c>
      <c r="P42" s="67" t="s">
        <v>29</v>
      </c>
      <c r="Q42" s="66">
        <v>300434066482170</v>
      </c>
      <c r="R42" s="66" t="s">
        <v>37</v>
      </c>
      <c r="S42" s="28" t="s">
        <v>118</v>
      </c>
      <c r="T42" s="71">
        <v>32.917650000000002</v>
      </c>
      <c r="U42" s="71">
        <v>-117.794504</v>
      </c>
      <c r="V42" s="28" t="s">
        <v>117</v>
      </c>
      <c r="W42" s="71" t="s">
        <v>119</v>
      </c>
      <c r="X42" s="71" t="s">
        <v>120</v>
      </c>
      <c r="Y42" s="82"/>
      <c r="Z42" s="83">
        <v>0.53263888888888888</v>
      </c>
      <c r="AA42" s="83">
        <v>0.1125</v>
      </c>
      <c r="AB42" s="67"/>
      <c r="AC42" s="67">
        <v>7</v>
      </c>
      <c r="AD42" s="67"/>
    </row>
    <row r="43" spans="1:30" s="84" customFormat="1" ht="15.75" customHeight="1" x14ac:dyDescent="0.2">
      <c r="A43" s="67">
        <v>26</v>
      </c>
      <c r="B43" s="67" t="s">
        <v>114</v>
      </c>
      <c r="C43" s="67">
        <v>5</v>
      </c>
      <c r="D43" s="67">
        <v>2</v>
      </c>
      <c r="E43" s="77">
        <v>45429</v>
      </c>
      <c r="F43" s="78">
        <v>0.43533564814814812</v>
      </c>
      <c r="G43" s="78" t="s">
        <v>115</v>
      </c>
      <c r="H43" s="67"/>
      <c r="I43" s="67"/>
      <c r="J43" s="77">
        <v>45432</v>
      </c>
      <c r="K43" s="78">
        <v>0.52296296296296296</v>
      </c>
      <c r="L43" s="78" t="s">
        <v>116</v>
      </c>
      <c r="M43" s="67"/>
      <c r="N43" s="67"/>
      <c r="O43" s="67">
        <v>3</v>
      </c>
      <c r="P43" s="67" t="s">
        <v>29</v>
      </c>
      <c r="Q43" s="66">
        <v>300434066482170</v>
      </c>
      <c r="R43" s="66" t="s">
        <v>37</v>
      </c>
      <c r="S43" s="28" t="s">
        <v>121</v>
      </c>
      <c r="T43" s="71">
        <v>32.998700999999997</v>
      </c>
      <c r="U43" s="71">
        <v>-117.874388</v>
      </c>
      <c r="V43" s="28" t="s">
        <v>122</v>
      </c>
      <c r="W43" s="71">
        <v>33.012540000000001</v>
      </c>
      <c r="X43" s="71">
        <v>-117.890097</v>
      </c>
      <c r="Y43" s="82"/>
      <c r="Z43" s="83">
        <v>0.53263888888888888</v>
      </c>
      <c r="AA43" s="83">
        <v>0.1125</v>
      </c>
      <c r="AB43" s="67"/>
      <c r="AC43" s="67">
        <v>7</v>
      </c>
      <c r="AD43" s="67"/>
    </row>
    <row r="44" spans="1:30" s="52" customFormat="1" ht="15.75" customHeight="1" x14ac:dyDescent="0.2">
      <c r="A44" s="45">
        <v>27</v>
      </c>
      <c r="B44" s="45" t="s">
        <v>123</v>
      </c>
      <c r="C44" s="45">
        <v>5</v>
      </c>
      <c r="D44" s="45">
        <v>1</v>
      </c>
      <c r="E44" s="72">
        <v>45462</v>
      </c>
      <c r="F44" s="73">
        <v>0.625</v>
      </c>
      <c r="G44" s="41">
        <f>$E44+$F44+TIME(AC44,0,0)</f>
        <v>45462.791666666664</v>
      </c>
      <c r="H44" s="45"/>
      <c r="I44" s="45"/>
      <c r="J44" s="46"/>
      <c r="K44" s="47"/>
      <c r="M44" s="70"/>
      <c r="N44" s="70"/>
      <c r="O44" s="45">
        <v>3</v>
      </c>
      <c r="P44" s="45" t="s">
        <v>29</v>
      </c>
      <c r="Q44" s="48">
        <v>300434066482170</v>
      </c>
      <c r="R44" s="48" t="s">
        <v>37</v>
      </c>
      <c r="S44" s="53">
        <v>45462.860289351855</v>
      </c>
      <c r="T44" s="70">
        <v>38.313133999999998</v>
      </c>
      <c r="U44" s="70">
        <v>-63.006925000000003</v>
      </c>
      <c r="V44" s="49"/>
      <c r="W44" s="45"/>
      <c r="X44" s="45"/>
      <c r="Y44" s="50"/>
      <c r="Z44" s="51"/>
      <c r="AA44" s="51"/>
      <c r="AB44" s="45"/>
      <c r="AC44" s="45">
        <v>4</v>
      </c>
      <c r="AD44" s="45"/>
    </row>
    <row r="45" spans="1:30" s="84" customFormat="1" ht="15.75" customHeight="1" x14ac:dyDescent="0.2">
      <c r="A45" s="67">
        <v>28</v>
      </c>
      <c r="B45" s="67" t="s">
        <v>123</v>
      </c>
      <c r="C45" s="67">
        <v>6</v>
      </c>
      <c r="D45" s="67">
        <v>1</v>
      </c>
      <c r="E45" s="75">
        <v>45462</v>
      </c>
      <c r="F45" s="76">
        <v>0.625</v>
      </c>
      <c r="G45" s="64">
        <f t="shared" ref="G45" si="8">$E45+$F45+TIME(AC45,0,0)</f>
        <v>45462.791666666664</v>
      </c>
      <c r="H45" s="67"/>
      <c r="I45" s="67"/>
      <c r="J45" s="77"/>
      <c r="K45" s="78"/>
      <c r="L45" s="65"/>
      <c r="M45" s="79"/>
      <c r="N45" s="79"/>
      <c r="O45" s="67">
        <v>4</v>
      </c>
      <c r="P45" s="67" t="s">
        <v>29</v>
      </c>
      <c r="Q45" s="66">
        <v>300434066480130</v>
      </c>
      <c r="R45" s="66" t="s">
        <v>44</v>
      </c>
      <c r="S45" s="28">
        <v>45462.830416666664</v>
      </c>
      <c r="T45" s="91">
        <v>38.311219000000001</v>
      </c>
      <c r="U45" s="91">
        <v>-63.003127999999997</v>
      </c>
      <c r="V45" s="28">
        <v>45462.83388888889</v>
      </c>
      <c r="W45" s="91">
        <v>38.310768000000003</v>
      </c>
      <c r="X45" s="91">
        <v>-63.002412999999997</v>
      </c>
      <c r="Y45" s="82"/>
      <c r="Z45" s="83"/>
      <c r="AA45" s="83"/>
      <c r="AB45" s="67"/>
      <c r="AC45" s="67">
        <v>4</v>
      </c>
      <c r="AD45" s="67"/>
    </row>
    <row r="46" spans="1:30" s="84" customFormat="1" ht="15.75" customHeight="1" x14ac:dyDescent="0.2">
      <c r="A46" s="67">
        <v>28</v>
      </c>
      <c r="B46" s="67" t="s">
        <v>123</v>
      </c>
      <c r="C46" s="67">
        <v>6</v>
      </c>
      <c r="D46" s="67">
        <v>2</v>
      </c>
      <c r="E46" s="75">
        <v>45462</v>
      </c>
      <c r="F46" s="76">
        <v>0.625</v>
      </c>
      <c r="G46" s="64">
        <f t="shared" ref="G46" si="9">$E46+$F46+TIME(AC46,0,0)</f>
        <v>45462.625</v>
      </c>
      <c r="H46" s="67"/>
      <c r="I46" s="67"/>
      <c r="J46" s="77"/>
      <c r="K46" s="78"/>
      <c r="L46" s="65"/>
      <c r="M46" s="79"/>
      <c r="N46" s="79"/>
      <c r="O46" s="67">
        <v>4</v>
      </c>
      <c r="P46" s="67" t="s">
        <v>29</v>
      </c>
      <c r="Q46" s="66">
        <v>300434066480130</v>
      </c>
      <c r="R46" s="66" t="s">
        <v>44</v>
      </c>
      <c r="S46" s="80">
        <v>45465.271736111114</v>
      </c>
      <c r="T46" s="91">
        <v>38.415380999999996</v>
      </c>
      <c r="U46" s="91">
        <v>-62.463433000000002</v>
      </c>
      <c r="V46" s="28">
        <v>45466.125555555554</v>
      </c>
      <c r="W46" s="91">
        <v>38.532255999999997</v>
      </c>
      <c r="X46" s="91">
        <v>-62.362059000000002</v>
      </c>
      <c r="Y46" s="82"/>
      <c r="Z46" s="83"/>
      <c r="AA46" s="83"/>
      <c r="AB46" s="67"/>
      <c r="AC46" s="67"/>
      <c r="AD46" s="67" t="s">
        <v>132</v>
      </c>
    </row>
    <row r="47" spans="1:30" s="52" customFormat="1" ht="15.75" customHeight="1" x14ac:dyDescent="0.2">
      <c r="A47" s="45">
        <v>29</v>
      </c>
      <c r="B47" s="45" t="s">
        <v>123</v>
      </c>
      <c r="C47" s="45">
        <v>4</v>
      </c>
      <c r="D47" s="45">
        <v>1</v>
      </c>
      <c r="E47" s="72">
        <v>45462</v>
      </c>
      <c r="F47" s="73">
        <v>0.625</v>
      </c>
      <c r="G47" s="41">
        <f>$E47+$F47+TIME(AC47,0,0)</f>
        <v>45462.791666666664</v>
      </c>
      <c r="H47" s="45">
        <v>38.316051999999999</v>
      </c>
      <c r="I47" s="45">
        <v>-63.012607000000003</v>
      </c>
      <c r="J47" s="46">
        <v>45464</v>
      </c>
      <c r="K47" s="47">
        <v>0.125</v>
      </c>
      <c r="L47" s="55">
        <f t="shared" ref="L47" si="10">$J47+$K47 +TIME($AC47,0,0)</f>
        <v>45464.291666666664</v>
      </c>
      <c r="M47" s="70">
        <v>38.309516000000002</v>
      </c>
      <c r="N47" s="70">
        <v>-62.619463000000003</v>
      </c>
      <c r="O47" s="45">
        <v>1</v>
      </c>
      <c r="P47" s="45" t="s">
        <v>23</v>
      </c>
      <c r="Q47" s="74">
        <v>300434066489180</v>
      </c>
      <c r="R47" s="48" t="s">
        <v>43</v>
      </c>
      <c r="S47" s="53">
        <v>45462.84778935185</v>
      </c>
      <c r="T47" s="70">
        <v>38.315800000000003</v>
      </c>
      <c r="U47" s="70">
        <v>-63.012493999999997</v>
      </c>
      <c r="V47" s="53">
        <v>45463.528101851851</v>
      </c>
      <c r="W47" s="70">
        <v>38.311391</v>
      </c>
      <c r="X47" s="70">
        <v>-62.918548000000001</v>
      </c>
      <c r="Y47" s="50">
        <f t="shared" ref="Y47" si="11">(V47-S47)*1440/60</f>
        <v>16.32750000001397</v>
      </c>
      <c r="Z47" s="51"/>
      <c r="AA47" s="51"/>
      <c r="AB47" s="45"/>
      <c r="AC47" s="45">
        <v>4</v>
      </c>
      <c r="AD47" s="45" t="s">
        <v>133</v>
      </c>
    </row>
    <row r="48" spans="1:30" s="84" customFormat="1" ht="15.75" customHeight="1" x14ac:dyDescent="0.2">
      <c r="A48" s="67"/>
      <c r="B48" s="67"/>
      <c r="C48" s="67"/>
      <c r="D48" s="67"/>
      <c r="E48" s="85"/>
      <c r="F48" s="86"/>
      <c r="G48" s="86"/>
      <c r="H48" s="80"/>
      <c r="I48" s="86"/>
      <c r="J48" s="87"/>
      <c r="K48" s="78"/>
      <c r="L48" s="78"/>
      <c r="M48" s="67"/>
      <c r="N48" s="67"/>
      <c r="O48" s="67"/>
      <c r="P48" s="67"/>
      <c r="Q48" s="66"/>
      <c r="R48" s="66"/>
      <c r="S48" s="81"/>
      <c r="T48" s="67"/>
      <c r="U48" s="67"/>
      <c r="V48" s="81"/>
      <c r="W48" s="67"/>
      <c r="X48" s="67"/>
      <c r="Y48" s="82"/>
      <c r="Z48" s="83"/>
      <c r="AA48" s="83"/>
      <c r="AB48" s="67"/>
      <c r="AC48" s="67"/>
      <c r="AD48" s="67"/>
    </row>
    <row r="49" spans="1:30" ht="15.75" customHeight="1" x14ac:dyDescent="0.2">
      <c r="A49" s="20"/>
      <c r="B49" s="20"/>
      <c r="C49" s="20"/>
      <c r="D49" s="20"/>
      <c r="E49" s="24"/>
      <c r="F49" s="68"/>
      <c r="G49" s="68"/>
      <c r="H49" s="24"/>
      <c r="I49" s="63"/>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2" customFormat="1" x14ac:dyDescent="0.2">
      <c r="A3" s="45">
        <v>2</v>
      </c>
      <c r="B3" s="45" t="s">
        <v>88</v>
      </c>
      <c r="C3" s="45">
        <v>4</v>
      </c>
      <c r="D3" s="45">
        <v>1</v>
      </c>
      <c r="E3" s="46">
        <v>44983</v>
      </c>
      <c r="F3" s="50">
        <v>12.250277777784504</v>
      </c>
      <c r="G3" s="45" t="s">
        <v>23</v>
      </c>
      <c r="H3" s="45"/>
    </row>
    <row r="4" spans="1:8" s="52" customFormat="1" x14ac:dyDescent="0.2">
      <c r="A4" s="45">
        <v>2</v>
      </c>
      <c r="B4" s="45" t="s">
        <v>88</v>
      </c>
      <c r="C4" s="45">
        <v>4</v>
      </c>
      <c r="D4" s="45">
        <v>2</v>
      </c>
      <c r="E4" s="46">
        <v>44983</v>
      </c>
      <c r="F4" s="50">
        <v>11.499999999941792</v>
      </c>
      <c r="G4" s="45" t="s">
        <v>23</v>
      </c>
      <c r="H4" s="45"/>
    </row>
    <row r="5" spans="1:8" s="52" customFormat="1" x14ac:dyDescent="0.2">
      <c r="A5" s="45">
        <v>2</v>
      </c>
      <c r="B5" s="45" t="s">
        <v>88</v>
      </c>
      <c r="C5" s="45">
        <v>4</v>
      </c>
      <c r="D5" s="45">
        <v>3</v>
      </c>
      <c r="E5" s="46">
        <v>44983</v>
      </c>
      <c r="F5" s="50">
        <v>12.083333333430346</v>
      </c>
      <c r="G5" s="45" t="s">
        <v>23</v>
      </c>
      <c r="H5" s="45"/>
    </row>
    <row r="6" spans="1:8" s="52" customFormat="1" x14ac:dyDescent="0.2">
      <c r="A6" s="45">
        <v>2</v>
      </c>
      <c r="B6" s="45" t="s">
        <v>88</v>
      </c>
      <c r="C6" s="45">
        <v>4</v>
      </c>
      <c r="D6" s="45">
        <v>4</v>
      </c>
      <c r="E6" s="46">
        <v>44983</v>
      </c>
      <c r="F6" s="50">
        <v>11.583055555529427</v>
      </c>
      <c r="G6" s="45" t="s">
        <v>23</v>
      </c>
      <c r="H6" s="45"/>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2" customFormat="1" x14ac:dyDescent="0.2">
      <c r="A9" s="45">
        <v>4</v>
      </c>
      <c r="B9" s="45" t="s">
        <v>88</v>
      </c>
      <c r="C9" s="45">
        <v>6</v>
      </c>
      <c r="D9" s="45">
        <v>1</v>
      </c>
      <c r="E9" s="46">
        <v>44985</v>
      </c>
      <c r="F9" s="50">
        <v>1.7480555555666797</v>
      </c>
      <c r="G9" s="45" t="s">
        <v>30</v>
      </c>
      <c r="H9" s="45" t="s">
        <v>31</v>
      </c>
    </row>
    <row r="10" spans="1:8" x14ac:dyDescent="0.2">
      <c r="A10" s="20">
        <v>5</v>
      </c>
      <c r="B10" s="20" t="s">
        <v>87</v>
      </c>
      <c r="C10" s="20">
        <v>6</v>
      </c>
      <c r="D10" s="20">
        <v>1</v>
      </c>
      <c r="E10" s="21">
        <v>45084</v>
      </c>
      <c r="F10" s="25">
        <v>1.0922222222434357</v>
      </c>
      <c r="G10" s="20" t="s">
        <v>30</v>
      </c>
      <c r="H10" s="20" t="s">
        <v>34</v>
      </c>
    </row>
    <row r="11" spans="1:8" s="52" customFormat="1" x14ac:dyDescent="0.2">
      <c r="A11" s="45">
        <v>6</v>
      </c>
      <c r="B11" s="45" t="s">
        <v>87</v>
      </c>
      <c r="C11" s="45">
        <v>4</v>
      </c>
      <c r="D11" s="45">
        <v>1</v>
      </c>
      <c r="E11" s="46">
        <v>45084</v>
      </c>
      <c r="F11" s="50">
        <v>12.746666666760575</v>
      </c>
      <c r="G11" s="45" t="s">
        <v>23</v>
      </c>
      <c r="H11" s="45"/>
    </row>
    <row r="12" spans="1:8" s="52" customFormat="1" x14ac:dyDescent="0.2">
      <c r="A12" s="45">
        <v>7</v>
      </c>
      <c r="B12" s="45" t="s">
        <v>87</v>
      </c>
      <c r="C12" s="45">
        <v>4</v>
      </c>
      <c r="D12" s="45">
        <v>2</v>
      </c>
      <c r="E12" s="46">
        <v>45084</v>
      </c>
      <c r="F12" s="50">
        <v>11.666944444470573</v>
      </c>
      <c r="G12" s="45" t="s">
        <v>23</v>
      </c>
      <c r="H12" s="45"/>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6" customFormat="1" x14ac:dyDescent="0.2">
      <c r="A15" s="45">
        <v>10</v>
      </c>
      <c r="B15" s="45" t="s">
        <v>41</v>
      </c>
      <c r="C15" s="45">
        <v>6</v>
      </c>
      <c r="D15" s="45">
        <v>1</v>
      </c>
      <c r="E15" s="46">
        <v>45176</v>
      </c>
      <c r="F15" s="50">
        <v>88.993611111072823</v>
      </c>
      <c r="G15" s="45" t="s">
        <v>30</v>
      </c>
      <c r="H15" s="45"/>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2" customFormat="1" ht="15.75" customHeight="1" x14ac:dyDescent="0.2">
      <c r="A19" s="59">
        <v>12</v>
      </c>
      <c r="B19" s="59" t="s">
        <v>96</v>
      </c>
      <c r="C19" s="59">
        <v>6</v>
      </c>
      <c r="D19" s="59">
        <v>1</v>
      </c>
      <c r="E19" s="60">
        <v>45317</v>
      </c>
      <c r="F19" s="61">
        <v>21.333611111040227</v>
      </c>
      <c r="G19" s="59" t="s">
        <v>29</v>
      </c>
      <c r="H19" s="59" t="s">
        <v>98</v>
      </c>
    </row>
    <row r="20" spans="1:8" s="62" customFormat="1" ht="15.75" customHeight="1" x14ac:dyDescent="0.2">
      <c r="A20" s="59">
        <v>12</v>
      </c>
      <c r="B20" s="59" t="s">
        <v>96</v>
      </c>
      <c r="C20" s="59">
        <v>6</v>
      </c>
      <c r="D20" s="59">
        <v>1</v>
      </c>
      <c r="E20" s="60">
        <v>45317</v>
      </c>
      <c r="F20" s="61">
        <v>47.183611111133359</v>
      </c>
      <c r="G20" s="59" t="s">
        <v>29</v>
      </c>
      <c r="H20" s="59"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3" t="s">
        <v>86</v>
      </c>
      <c r="B1" s="94"/>
      <c r="C1" s="94"/>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2022-2024</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2024-08-06T12:59:24Z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